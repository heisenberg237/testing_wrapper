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arfsp03\CFAO\Logiciels\BD_Quindos\Resultats_BA\YCCET025F\HK147127-0\"/>
    </mc:Choice>
  </mc:AlternateContent>
  <bookViews>
    <workbookView xWindow="0" yWindow="0" windowWidth="28800" windowHeight="12300"/>
  </bookViews>
  <sheets>
    <sheet name="Client" sheetId="2" r:id="rId1"/>
    <sheet name="Cavity Check" sheetId="4" r:id="rId2"/>
    <sheet name="Analyse" sheetId="3" r:id="rId3"/>
  </sheets>
  <externalReferences>
    <externalReference r:id="rId4"/>
  </externalReferences>
  <definedNames>
    <definedName name="_xlnm.Print_Area" localSheetId="0">Client!$A$1:$AE$46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3" l="1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5" i="3"/>
  <c r="E19" i="3"/>
  <c r="E9" i="3"/>
  <c r="E3" i="3"/>
  <c r="D15" i="3"/>
  <c r="D7" i="3"/>
  <c r="D25" i="3"/>
  <c r="D23" i="3"/>
  <c r="D17" i="3"/>
  <c r="D9" i="3"/>
  <c r="E21" i="3"/>
  <c r="E17" i="3"/>
  <c r="E11" i="3"/>
  <c r="E5" i="3"/>
  <c r="D19" i="3"/>
  <c r="D13" i="3"/>
  <c r="D5" i="3"/>
  <c r="E23" i="3"/>
  <c r="E15" i="3"/>
  <c r="E13" i="3"/>
  <c r="E7" i="3"/>
  <c r="D21" i="3"/>
  <c r="D11" i="3"/>
  <c r="D3" i="3"/>
  <c r="C26" i="3"/>
  <c r="E22" i="3"/>
  <c r="F18" i="3"/>
  <c r="E6" i="3"/>
  <c r="C17" i="3"/>
  <c r="E12" i="3"/>
  <c r="C25" i="3"/>
  <c r="C21" i="3"/>
  <c r="C9" i="3"/>
  <c r="F8" i="3"/>
  <c r="F24" i="3"/>
  <c r="F20" i="3"/>
  <c r="F16" i="3"/>
  <c r="C23" i="3"/>
  <c r="C19" i="3"/>
  <c r="C15" i="3"/>
  <c r="C11" i="3"/>
  <c r="C7" i="3"/>
  <c r="C3" i="3"/>
  <c r="E14" i="3"/>
  <c r="C10" i="3"/>
  <c r="C13" i="3"/>
  <c r="C5" i="3"/>
  <c r="C4" i="3"/>
  <c r="G4" i="3" l="1"/>
  <c r="G5" i="3"/>
  <c r="G3" i="3"/>
  <c r="F12" i="3"/>
  <c r="C18" i="3"/>
  <c r="D4" i="3"/>
  <c r="F9" i="3"/>
  <c r="F13" i="3"/>
  <c r="F17" i="3"/>
  <c r="F21" i="3"/>
  <c r="F25" i="3"/>
  <c r="E16" i="3"/>
  <c r="C12" i="3"/>
  <c r="E18" i="3"/>
  <c r="F14" i="3"/>
  <c r="C20" i="3"/>
  <c r="F5" i="3"/>
  <c r="D10" i="3"/>
  <c r="D14" i="3"/>
  <c r="D18" i="3"/>
  <c r="D22" i="3"/>
  <c r="D26" i="3"/>
  <c r="F10" i="3"/>
  <c r="F22" i="3"/>
  <c r="C24" i="3"/>
  <c r="D6" i="3"/>
  <c r="F11" i="3"/>
  <c r="F15" i="3"/>
  <c r="F19" i="3"/>
  <c r="F23" i="3"/>
  <c r="F6" i="3"/>
  <c r="C14" i="3"/>
  <c r="E8" i="3"/>
  <c r="E20" i="3"/>
  <c r="F4" i="3"/>
  <c r="C16" i="3"/>
  <c r="F3" i="3"/>
  <c r="F7" i="3"/>
  <c r="D12" i="3"/>
  <c r="D16" i="3"/>
  <c r="D20" i="3"/>
  <c r="D24" i="3"/>
  <c r="C6" i="3"/>
  <c r="C22" i="3"/>
  <c r="E10" i="3"/>
  <c r="E24" i="3"/>
  <c r="C8" i="3"/>
  <c r="D8" i="3"/>
  <c r="E26" i="3"/>
  <c r="E4" i="3"/>
  <c r="F26" i="3"/>
  <c r="G8" i="3" l="1"/>
  <c r="G22" i="3"/>
  <c r="G6" i="3"/>
  <c r="G7" i="3"/>
  <c r="G16" i="3"/>
  <c r="G14" i="3"/>
  <c r="G23" i="3"/>
  <c r="G19" i="3"/>
  <c r="G15" i="3"/>
  <c r="G11" i="3"/>
  <c r="G24" i="3"/>
  <c r="G26" i="3"/>
  <c r="G10" i="3"/>
  <c r="G20" i="3"/>
  <c r="G12" i="3"/>
  <c r="G25" i="3"/>
  <c r="G21" i="3"/>
  <c r="G17" i="3"/>
  <c r="G13" i="3"/>
  <c r="G9" i="3"/>
  <c r="G18" i="3"/>
</calcChain>
</file>

<file path=xl/sharedStrings.xml><?xml version="1.0" encoding="utf-8"?>
<sst xmlns="http://schemas.openxmlformats.org/spreadsheetml/2006/main" count="2054" uniqueCount="280">
  <si>
    <t>Contrôleur :</t>
  </si>
  <si>
    <t>Date :</t>
  </si>
  <si>
    <t xml:space="preserve">DTA : </t>
  </si>
  <si>
    <t>N° DPF :</t>
  </si>
  <si>
    <t>Article :</t>
  </si>
  <si>
    <t>N° de série :</t>
  </si>
  <si>
    <t>MCT :</t>
  </si>
  <si>
    <t>Programme de mesure:</t>
  </si>
  <si>
    <t>Client :</t>
  </si>
  <si>
    <t>N° d'OF :</t>
  </si>
  <si>
    <t xml:space="preserve">Plan : </t>
  </si>
  <si>
    <t>Programme d'analyse:</t>
  </si>
  <si>
    <t>N° d'Outillage :</t>
  </si>
  <si>
    <t xml:space="preserve">Nota : </t>
  </si>
  <si>
    <t>BASE CRITERES</t>
  </si>
  <si>
    <t>Position HT max du BestFit</t>
  </si>
  <si>
    <t>Epaisseurs Intrados au ratio min
Zone souple</t>
  </si>
  <si>
    <t>Epaisseurs Extrados au ratio min
Zone souple</t>
  </si>
  <si>
    <t>Epaisseurs Intrados théo au ratio min
Zone souple</t>
  </si>
  <si>
    <t>Epaisseurs Extrados théo au ratio min
Zone souple</t>
  </si>
  <si>
    <t>Calcul de  flèche/flèche nominale pour chaque zone intrados</t>
  </si>
  <si>
    <t>Calcul de  flèche/flèche nominale pour chaque zone extrados</t>
  </si>
  <si>
    <t>Nombre de sections NC
&lt; Tol+ +0.15
Ep. Intra. Sou.</t>
  </si>
  <si>
    <t>Résultats</t>
  </si>
  <si>
    <t>Nombre de sections NC
&lt; Tol+ +0.15
Ep. Extra. Sou.</t>
  </si>
  <si>
    <r>
      <t>Tol +</t>
    </r>
    <r>
      <rPr>
        <b/>
        <sz val="8"/>
        <color theme="6" tint="-0.249977111117893"/>
        <rFont val="Calibri"/>
        <family val="2"/>
      </rPr>
      <t/>
    </r>
  </si>
  <si>
    <t>-</t>
  </si>
  <si>
    <t>Tol -</t>
  </si>
  <si>
    <t>P03</t>
  </si>
  <si>
    <t>P02</t>
  </si>
  <si>
    <t>P01</t>
  </si>
  <si>
    <t>CR03</t>
  </si>
  <si>
    <t>CR05</t>
  </si>
  <si>
    <t>CR06</t>
  </si>
  <si>
    <t>CR08</t>
  </si>
  <si>
    <t>CR09</t>
  </si>
  <si>
    <t>CR10</t>
  </si>
  <si>
    <t>CR15</t>
  </si>
  <si>
    <t>CR20</t>
  </si>
  <si>
    <t>CR25</t>
  </si>
  <si>
    <t>CR30</t>
  </si>
  <si>
    <t>CR35</t>
  </si>
  <si>
    <t>CR40</t>
  </si>
  <si>
    <t>CR45</t>
  </si>
  <si>
    <t>CR50</t>
  </si>
  <si>
    <t>CR54</t>
  </si>
  <si>
    <t>CR58</t>
  </si>
  <si>
    <t>CR63</t>
  </si>
  <si>
    <t>CR67</t>
  </si>
  <si>
    <t>CR71</t>
  </si>
  <si>
    <t>CR75</t>
  </si>
  <si>
    <t>CR79</t>
  </si>
  <si>
    <t>CR84</t>
  </si>
  <si>
    <t>CR88</t>
  </si>
  <si>
    <t>CR90</t>
  </si>
  <si>
    <t>CR91</t>
  </si>
  <si>
    <t>CR93</t>
  </si>
  <si>
    <t>CR94</t>
  </si>
  <si>
    <t>Zone Z4</t>
  </si>
  <si>
    <t>Rugosité surface interne</t>
  </si>
  <si>
    <t>Rugosité surface externe</t>
  </si>
  <si>
    <t>Poids</t>
  </si>
  <si>
    <t>Marquage</t>
  </si>
  <si>
    <t>Observations</t>
  </si>
  <si>
    <t>Longueur pièce</t>
  </si>
  <si>
    <t>Détourage grande oreille</t>
  </si>
  <si>
    <t>Détourage petite oreille</t>
  </si>
  <si>
    <r>
      <rPr>
        <b/>
        <sz val="8"/>
        <color rgb="FF0070C0"/>
        <rFont val="Arial"/>
        <family val="2"/>
      </rPr>
      <t xml:space="preserve">                   </t>
    </r>
    <r>
      <rPr>
        <b/>
        <u/>
        <sz val="8"/>
        <color rgb="FF0070C0"/>
        <rFont val="Arial"/>
        <family val="2"/>
      </rPr>
      <t>Contôle EI-EE minis</t>
    </r>
  </si>
  <si>
    <t>0.9µm mini / 10µm maxi</t>
  </si>
  <si>
    <t>0,80µm max</t>
  </si>
  <si>
    <t>580g</t>
  </si>
  <si>
    <t>BTD
Détourage
GO</t>
  </si>
  <si>
    <t>BTD
Détourage
PO</t>
  </si>
  <si>
    <t>à</t>
  </si>
  <si>
    <t>Z1 - Z2 (EI)</t>
  </si>
  <si>
    <t>Z3 (EE)</t>
  </si>
  <si>
    <t>Coup d'outil</t>
  </si>
  <si>
    <t>Picots</t>
  </si>
  <si>
    <t>(CR40-CR88)</t>
  </si>
  <si>
    <t>(CR58-CR88)</t>
  </si>
  <si>
    <t>Théos</t>
  </si>
  <si>
    <t>RATIOS</t>
  </si>
  <si>
    <t>Epaisseur intrados souple max</t>
  </si>
  <si>
    <t>Epaisseur intrados souple min</t>
  </si>
  <si>
    <t>Epaisseur extrados souple max</t>
  </si>
  <si>
    <t>Epaisseur extrados souple min</t>
  </si>
  <si>
    <t>BestFit</t>
  </si>
  <si>
    <t>580g max</t>
  </si>
  <si>
    <t>Maxis</t>
  </si>
  <si>
    <t>Base critères Max</t>
  </si>
  <si>
    <t>3,2µm mini / 10µm maxi</t>
  </si>
  <si>
    <t>Minis</t>
  </si>
  <si>
    <t>Base critères Min</t>
  </si>
  <si>
    <t>Bord d'Attaque Leap 1A/1C 362-850-019-6S1 SERIE</t>
  </si>
  <si>
    <t>LABAT</t>
  </si>
  <si>
    <t>31/03/2022 15:39:38</t>
  </si>
  <si>
    <t>MOD307874 Etude</t>
  </si>
  <si>
    <t>DPF00000135 Ind: G</t>
  </si>
  <si>
    <t>YCCET025F</t>
  </si>
  <si>
    <t>HK147127-0</t>
  </si>
  <si>
    <t>XCM-00083393/R</t>
  </si>
  <si>
    <t/>
  </si>
  <si>
    <t>Safran Aircraft Engines</t>
  </si>
  <si>
    <t>M759580H</t>
  </si>
  <si>
    <t>DOC00223741 Ed: K</t>
  </si>
  <si>
    <t>YCCET025F_Mesure_OP_Controle_MMT_MMT_LEITZ-2-3-4-5-6_Ind_23.WDB</t>
  </si>
  <si>
    <t>O8111213A2</t>
  </si>
  <si>
    <t>DOC00223742 Ed: H</t>
  </si>
  <si>
    <t>L1</t>
  </si>
  <si>
    <t>b1</t>
  </si>
  <si>
    <t>Ea</t>
  </si>
  <si>
    <t>Ri</t>
  </si>
  <si>
    <t>Position cavité intrados rigide max</t>
  </si>
  <si>
    <t>Epaisseur intrados rigide max</t>
  </si>
  <si>
    <t>Epaisseur intrados rigide min</t>
  </si>
  <si>
    <t>EI</t>
  </si>
  <si>
    <t>Re</t>
  </si>
  <si>
    <t>Position cavité extrados rigide max</t>
  </si>
  <si>
    <t>Epaisseur extrados rigide max</t>
  </si>
  <si>
    <t>Epaisseur extrados rigide min</t>
  </si>
  <si>
    <t>EE</t>
  </si>
  <si>
    <t>Epaisseur intrados mini R2 (inclus) à RL5 (exclus)</t>
  </si>
  <si>
    <t>Epaisseur extrados mini R2 (inclus) à RL4 (exclus)</t>
  </si>
  <si>
    <t>Empilage</t>
  </si>
  <si>
    <t>Empilage Delta</t>
  </si>
  <si>
    <t>Epaisseur intrados
ref</t>
  </si>
  <si>
    <t>Epaisseur intrados mini R2 (inclus) à RL3 (exclus)</t>
  </si>
  <si>
    <t>Défaut de croissance intrados</t>
  </si>
  <si>
    <t>Epaisseur extrados ref</t>
  </si>
  <si>
    <t>Epaisseur extrados mini R2 (inclus) à RL3 (exclus)</t>
  </si>
  <si>
    <t>Défaut de croissance extrados</t>
  </si>
  <si>
    <t>Xba</t>
  </si>
  <si>
    <t>Yba</t>
  </si>
  <si>
    <t>Cibles Empilage</t>
  </si>
  <si>
    <t>Cibles Empilage
Delta</t>
  </si>
  <si>
    <t>Somme
Ecarts mini
Zone rigide</t>
  </si>
  <si>
    <t>Epaisseurs mini Intrados
Zone rigide</t>
  </si>
  <si>
    <t>Epaisseurs mini Extrados
Zone rigide</t>
  </si>
  <si>
    <t>Epaisseurs théo Intrados
Zone rigide</t>
  </si>
  <si>
    <t>Epaisseurs théo Extrados
Zone rigide</t>
  </si>
  <si>
    <t>Epaisseurs mini Intrados
Zone souple</t>
  </si>
  <si>
    <t>Epaisseurs mini Extrados
Zone souple</t>
  </si>
  <si>
    <t>Somme
Epaisseurs mini
Zone souple</t>
  </si>
  <si>
    <t>Nombre de
sections NC
Ep. Intra. Rig.</t>
  </si>
  <si>
    <t>Résultat</t>
  </si>
  <si>
    <t>Nombre de
sections NC
Ep. Extra. Rig.</t>
  </si>
  <si>
    <t>Nombre de
sections NC
Ep. Intra. Sou.</t>
  </si>
  <si>
    <t>Nombre de
sections NC
Ep. Extra. Sou.</t>
  </si>
  <si>
    <t>Moyenne L1
CR50-&gt;CR94</t>
  </si>
  <si>
    <t>Nombre de
sections NC
b1</t>
  </si>
  <si>
    <t>Epaisseurs intrados 
FDC suivant BTD</t>
  </si>
  <si>
    <t>Nombre de
sections NC
Ep. Intra.
FDC</t>
  </si>
  <si>
    <t>Nombre de
sections NC
Ep. Extra.
FDC</t>
  </si>
  <si>
    <t>Somme
des Ep.
Intra. Extra. en FDC</t>
  </si>
  <si>
    <t>Somme
des Ep. Intra. Extra. théo mini
en FDC</t>
  </si>
  <si>
    <t>NC Ep intra rigide dans la zone 
R10</t>
  </si>
  <si>
    <t>NC Ep extra rigide dans la zone R4.4</t>
  </si>
  <si>
    <t>Nombre de sections NC
&lt; Tol+ +0.15
Ep. Intra. Rig.</t>
  </si>
  <si>
    <t>Nombre de sections NC
&lt; Tol+ +0.15
Ep. Extra. Rig.</t>
  </si>
  <si>
    <t>Nombre de
sections NC
Ri</t>
  </si>
  <si>
    <t>Nombre de
sections NC
consécutives</t>
  </si>
  <si>
    <t>Nombre de sections entre 
-2 et -2.5</t>
  </si>
  <si>
    <t>Critère des 3 coupes consécutives</t>
  </si>
  <si>
    <t>Nombre de
sections NC
Re</t>
  </si>
  <si>
    <t>Nombre de sections entre 
-1.5 et -2</t>
  </si>
  <si>
    <t>OK</t>
  </si>
  <si>
    <t>0.090|0.150</t>
  </si>
  <si>
    <t>0.090|0.190</t>
  </si>
  <si>
    <t>0.060|0.210</t>
  </si>
  <si>
    <t>0.040|0.170</t>
  </si>
  <si>
    <t>1</t>
  </si>
  <si>
    <t>0</t>
  </si>
  <si>
    <t>0.110|0.180</t>
  </si>
  <si>
    <t>0.100|0.250</t>
  </si>
  <si>
    <t>0.060|0.170</t>
  </si>
  <si>
    <t>0.060|0.230</t>
  </si>
  <si>
    <t>0.070|0.160</t>
  </si>
  <si>
    <t>0.080|0.230</t>
  </si>
  <si>
    <t>0.120|0.180</t>
  </si>
  <si>
    <t>0.110|0.250</t>
  </si>
  <si>
    <t>0.070|0.220</t>
  </si>
  <si>
    <t>0.100|0.150</t>
  </si>
  <si>
    <t>0.080|0.170</t>
  </si>
  <si>
    <t>0.080|0.220</t>
  </si>
  <si>
    <t>0.110|0.160</t>
  </si>
  <si>
    <t>0.080|0.160</t>
  </si>
  <si>
    <t>0.080|0.240</t>
  </si>
  <si>
    <t>0.096|0.240</t>
  </si>
  <si>
    <t>0.110|0.170</t>
  </si>
  <si>
    <t>0.080|0.150</t>
  </si>
  <si>
    <t>0.090|0.240</t>
  </si>
  <si>
    <t>0.089|0.250</t>
  </si>
  <si>
    <t>0.110|0.190</t>
  </si>
  <si>
    <t>0.070|0.180</t>
  </si>
  <si>
    <t>0.100|0.240</t>
  </si>
  <si>
    <t>0.058|0.240</t>
  </si>
  <si>
    <t>0.100|0.180</t>
  </si>
  <si>
    <t>0.110|0.150</t>
  </si>
  <si>
    <t>0.056|0.250</t>
  </si>
  <si>
    <t>0.090|0.170</t>
  </si>
  <si>
    <t>0.070|0.230</t>
  </si>
  <si>
    <t>0.120|0.150</t>
  </si>
  <si>
    <t>0.067|0.240</t>
  </si>
  <si>
    <t>0.090|0.180</t>
  </si>
  <si>
    <t>0.130|0.170</t>
  </si>
  <si>
    <t>0.105|0.250</t>
  </si>
  <si>
    <t>0.050|0.230</t>
  </si>
  <si>
    <t>0.130|0.150</t>
  </si>
  <si>
    <t>0.130|0.250</t>
  </si>
  <si>
    <t>0.125|0.247</t>
  </si>
  <si>
    <t>0.040|0.230</t>
  </si>
  <si>
    <t>0.150|0.150</t>
  </si>
  <si>
    <t>0.140|0.250</t>
  </si>
  <si>
    <t>0.125|0.250</t>
  </si>
  <si>
    <t>0.060|0.250</t>
  </si>
  <si>
    <t>0.160|0.150</t>
  </si>
  <si>
    <t>0.160|0.250</t>
  </si>
  <si>
    <t>0.125|0.240</t>
  </si>
  <si>
    <t>0.050|0.250</t>
  </si>
  <si>
    <t>0.170|0.240</t>
  </si>
  <si>
    <t>0.126|0.250</t>
  </si>
  <si>
    <t>0.040|0.250</t>
  </si>
  <si>
    <t>0.180|0.250</t>
  </si>
  <si>
    <t>0.107|0.250</t>
  </si>
  <si>
    <t>0.030|0.240</t>
  </si>
  <si>
    <t>0.190|0.190</t>
  </si>
  <si>
    <t>0.119|0.249</t>
  </si>
  <si>
    <t>0.020|0.240</t>
  </si>
  <si>
    <t>0.180|0.150</t>
  </si>
  <si>
    <t>0.190|0.250</t>
  </si>
  <si>
    <t>0.095|0.250</t>
  </si>
  <si>
    <t>0.160|0.160</t>
  </si>
  <si>
    <t>0.180|0.240</t>
  </si>
  <si>
    <t>0.075|0.250</t>
  </si>
  <si>
    <t>0.030|0.230</t>
  </si>
  <si>
    <t>0.200|0.150</t>
  </si>
  <si>
    <t>0.210|0.220</t>
  </si>
  <si>
    <t>0.077|0.240</t>
  </si>
  <si>
    <t>0.210|0.230</t>
  </si>
  <si>
    <t>0.065|0.240</t>
  </si>
  <si>
    <t>0.200|0.240</t>
  </si>
  <si>
    <t>0.050|0.150</t>
  </si>
  <si>
    <t>0.020|0.190</t>
  </si>
  <si>
    <t>0.105|0.230</t>
  </si>
  <si>
    <t>0.070|0.150</t>
  </si>
  <si>
    <t>0.190|0.150</t>
  </si>
  <si>
    <t>0.115|0.240</t>
  </si>
  <si>
    <t>0.010|0.250</t>
  </si>
  <si>
    <t>0.020|0.160</t>
  </si>
  <si>
    <t>0.010|0.150</t>
  </si>
  <si>
    <t>0.166|0.240</t>
  </si>
  <si>
    <t>0.186|0.240</t>
  </si>
  <si>
    <t>ok</t>
  </si>
  <si>
    <t>Sanction biaisage selon DT06-22 + Macro LEAP 1A  r2_0</t>
  </si>
  <si>
    <t>AEE</t>
  </si>
  <si>
    <t>Pas de présence de coup d'outil</t>
  </si>
  <si>
    <t>Conforme suivant la BTD</t>
  </si>
  <si>
    <t>Moyenne</t>
  </si>
  <si>
    <t>Mini</t>
  </si>
  <si>
    <t>.</t>
  </si>
  <si>
    <t>Epaisseur mini 
RL3-RL5</t>
  </si>
  <si>
    <t>Epaisseur mini 
RL3-RL4</t>
  </si>
  <si>
    <t>Ep intrados ref</t>
  </si>
  <si>
    <t>Epaisseur intrados mini</t>
  </si>
  <si>
    <t>Ep extrados ref</t>
  </si>
  <si>
    <t>Epaisseur extrados mini</t>
  </si>
  <si>
    <t>Section</t>
  </si>
  <si>
    <t>Nominal</t>
  </si>
  <si>
    <t>Tol+</t>
  </si>
  <si>
    <t>Tol-</t>
  </si>
  <si>
    <t>Measured</t>
  </si>
  <si>
    <t>Error</t>
  </si>
  <si>
    <t>RELEVES DU CAVITY CHECK</t>
  </si>
  <si>
    <t>L4</t>
  </si>
  <si>
    <t>L5</t>
  </si>
  <si>
    <t>L6</t>
  </si>
  <si>
    <t>L7</t>
  </si>
  <si>
    <t>L8</t>
  </si>
  <si>
    <t>L9</t>
  </si>
  <si>
    <t>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</si>
</sst>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rgb="FF0070C0"/>
      <name val="Arial"/>
      <family val="2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b/>
      <sz val="8"/>
      <color theme="6" tint="-0.249977111117893"/>
      <name val="Calibri"/>
      <family val="2"/>
    </font>
    <font>
      <sz val="8"/>
      <color rgb="FF7030A0"/>
      <name val="Arial"/>
      <family val="2"/>
    </font>
    <font>
      <sz val="14"/>
      <color indexed="8"/>
      <name val="Arial"/>
      <family val="2"/>
    </font>
    <font>
      <b/>
      <u/>
      <sz val="8"/>
      <color rgb="FF0070C0"/>
      <name val="Arial"/>
      <family val="2"/>
    </font>
    <font>
      <b/>
      <sz val="8"/>
      <color rgb="FF0070C0"/>
      <name val="Arial"/>
      <family val="2"/>
    </font>
    <font>
      <sz val="8"/>
      <color theme="0" tint="-0.499984740745262"/>
      <name val="Arial"/>
      <family val="2"/>
    </font>
    <font>
      <sz val="9"/>
      <color theme="0"/>
      <name val="Arial"/>
      <family val="2"/>
    </font>
    <font>
      <sz val="16"/>
      <color indexed="8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EEA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theme="5"/>
      </patternFill>
    </fill>
    <fill>
      <patternFill patternType="solid">
        <fgColor indexed="42"/>
        <bgColor indexed="64"/>
      </patternFill>
    </fill>
    <fill>
      <patternFill patternType="solid">
        <fgColor rgb="FF3DFD33"/>
        <bgColor indexed="64"/>
      </patternFill>
    </fill>
    <fill>
      <patternFill patternType="solid">
        <fgColor rgb="FFFFFF00"/>
        <bgColor theme="0" tint="-0.24994659260841701"/>
      </patternFill>
    </fill>
    <fill>
      <patternFill patternType="solid">
        <fgColor rgb="FFFFFF00"/>
        <bgColor indexed="64"/>
      </patternFill>
    </fill>
    <fill>
      <patternFill patternType="solid">
        <fgColor rgb="FF2FC9FF"/>
        <bgColor theme="0" tint="-0.24994659260841701"/>
      </patternFill>
    </fill>
    <fill>
      <patternFill patternType="solid">
        <fgColor rgb="FF2FC9FF"/>
        <bgColor indexed="64"/>
      </patternFill>
    </fill>
    <fill>
      <patternFill patternType="darkGrid">
        <fgColor theme="0" tint="-0.24994659260841701"/>
        <bgColor rgb="FF3DFD33"/>
      </patternFill>
    </fill>
    <fill>
      <patternFill patternType="darkGrid">
        <fgColor theme="0" tint="-0.24994659260841701"/>
        <bgColor theme="5" tint="0.39994506668294322"/>
      </patternFill>
    </fill>
    <fill>
      <patternFill patternType="solid">
        <fgColor indexed="65"/>
        <bgColor theme="0" tint="-0.24994659260841701"/>
      </patternFill>
    </fill>
    <fill>
      <patternFill patternType="darkGrid">
        <fgColor theme="0" tint="-0.24994659260841701"/>
        <bgColor indexed="65"/>
      </patternFill>
    </fill>
    <fill>
      <patternFill patternType="solid">
        <fgColor indexed="65"/>
        <bgColor theme="0"/>
      </patternFill>
    </fill>
    <fill>
      <patternFill patternType="solid">
        <fgColor indexed="29"/>
        <bgColor indexed="64"/>
      </patternFill>
    </fill>
    <fill>
      <patternFill patternType="solid">
        <fgColor rgb="FFFF8989"/>
        <bgColor indexed="64"/>
      </patternFill>
    </fill>
    <fill>
      <patternFill patternType="darkGrid">
        <fgColor theme="0" tint="-0.24994659260841701"/>
        <bgColor rgb="FFFFFF00"/>
      </patternFill>
    </fill>
    <fill>
      <patternFill patternType="darkGrid">
        <fgColor theme="0" tint="-0.24994659260841701"/>
        <bgColor rgb="FF00B0F0"/>
      </patternFill>
    </fill>
    <fill>
      <patternFill patternType="darkGrid">
        <fgColor theme="0" tint="-0.24994659260841701"/>
        <bgColor rgb="FF2FC9FF"/>
      </patternFill>
    </fill>
    <fill>
      <patternFill patternType="solid">
        <fgColor rgb="FF3DFD33"/>
        <bgColor theme="0" tint="-0.2499465926084170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theme="6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C000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C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55"/>
      </bottom>
      <diagonal/>
    </border>
    <border>
      <left style="thin">
        <color indexed="8"/>
      </left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55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0" tint="-0.24994659260841701"/>
      </top>
      <bottom style="thin">
        <color indexed="55"/>
      </bottom>
      <diagonal/>
    </border>
    <border>
      <left style="thin">
        <color indexed="8"/>
      </left>
      <right style="thin">
        <color theme="0" tint="-0.24994659260841701"/>
      </right>
      <top style="thin">
        <color indexed="8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8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8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8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8"/>
      </left>
      <right style="thin">
        <color indexed="8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8"/>
      </left>
      <right style="thin">
        <color indexed="8"/>
      </right>
      <top/>
      <bottom style="thin">
        <color indexed="55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theme="0" tint="-0.24994659260841701"/>
      </right>
      <top style="thin">
        <color theme="0" tint="-0.24994659260841701"/>
      </top>
      <bottom style="thin">
        <color indexed="8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8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8"/>
      </bottom>
      <diagonal/>
    </border>
    <border>
      <left/>
      <right/>
      <top style="thin">
        <color theme="0" tint="-0.24994659260841701"/>
      </top>
      <bottom style="thin">
        <color indexed="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8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55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dotted">
        <color rgb="FF00B050"/>
      </right>
      <top style="thin">
        <color indexed="64"/>
      </top>
      <bottom style="thin">
        <color indexed="64"/>
      </bottom>
      <diagonal/>
    </border>
    <border>
      <left style="dotted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0" tint="-0.24994659260841701"/>
      </bottom>
      <diagonal/>
    </border>
    <border>
      <left style="thin">
        <color indexed="8"/>
      </left>
      <right style="thin">
        <color indexed="8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indexed="8"/>
      </left>
      <right style="thin">
        <color indexed="8"/>
      </right>
      <top/>
      <bottom style="thin">
        <color theme="0" tint="-0.24994659260841701"/>
      </bottom>
      <diagonal/>
    </border>
    <border>
      <left style="thin">
        <color indexed="8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8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rgb="FF00B050"/>
      </right>
      <top/>
      <bottom style="thin">
        <color indexed="64"/>
      </bottom>
      <diagonal/>
    </border>
    <border>
      <left style="dotted">
        <color rgb="FF00B050"/>
      </left>
      <right style="thin">
        <color rgb="FF00B050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theme="0" tint="-0.24994659260841701"/>
      </bottom>
      <diagonal/>
    </border>
    <border>
      <left style="thin">
        <color indexed="8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8"/>
      </left>
      <right/>
      <top style="thin">
        <color theme="0" tint="-0.24994659260841701"/>
      </top>
      <bottom/>
      <diagonal/>
    </border>
    <border>
      <left style="thin">
        <color indexed="8"/>
      </left>
      <right style="thin">
        <color theme="0" tint="-0.24994659260841701"/>
      </right>
      <top style="thin">
        <color indexed="8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8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8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8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8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8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8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8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rgb="FF00B05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8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8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8"/>
      </left>
      <right style="thin">
        <color indexed="8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8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8"/>
      </left>
      <right/>
      <top style="thin">
        <color theme="0" tint="-0.24994659260841701"/>
      </top>
      <bottom style="thin">
        <color indexed="8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55"/>
      </bottom>
      <diagonal/>
    </border>
    <border>
      <left/>
      <right/>
      <top style="thin">
        <color indexed="8"/>
      </top>
      <bottom style="thin">
        <color theme="0" tint="-0.24994659260841701"/>
      </bottom>
      <diagonal/>
    </border>
    <border>
      <left style="thin">
        <color indexed="8"/>
      </left>
      <right style="thin">
        <color indexed="8"/>
      </right>
      <top style="thin">
        <color indexed="55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06">
    <xf numFmtId="0" fontId="0" fillId="0" borderId="0" xfId="0"/>
    <xf numFmtId="0" fontId="2" fillId="3" borderId="1" xfId="1" applyFont="1" applyFill="1" applyBorder="1" applyAlignment="1">
      <alignment horizontal="center" wrapText="1"/>
    </xf>
    <xf numFmtId="0" fontId="3" fillId="0" borderId="0" xfId="1" applyFont="1"/>
    <xf numFmtId="0" fontId="2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right"/>
    </xf>
    <xf numFmtId="0" fontId="3" fillId="0" borderId="0" xfId="1" applyNumberFormat="1" applyFont="1" applyBorder="1" applyAlignment="1">
      <alignment horizontal="left"/>
    </xf>
    <xf numFmtId="49" fontId="3" fillId="0" borderId="0" xfId="1" applyNumberFormat="1" applyFont="1" applyAlignment="1">
      <alignment horizontal="left"/>
    </xf>
    <xf numFmtId="0" fontId="3" fillId="0" borderId="0" xfId="1" applyFont="1" applyBorder="1" applyAlignment="1">
      <alignment horizontal="right" vertical="center" wrapText="1"/>
    </xf>
    <xf numFmtId="0" fontId="4" fillId="0" borderId="0" xfId="1" applyFont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3" fillId="0" borderId="0" xfId="1" applyFont="1" applyBorder="1" applyAlignment="1">
      <alignment horizontal="center" wrapText="1"/>
    </xf>
    <xf numFmtId="0" fontId="2" fillId="0" borderId="0" xfId="1" applyFont="1" applyBorder="1" applyAlignment="1">
      <alignment horizontal="center" wrapText="1"/>
    </xf>
    <xf numFmtId="49" fontId="3" fillId="0" borderId="0" xfId="1" applyNumberFormat="1" applyFont="1" applyBorder="1" applyAlignment="1">
      <alignment horizontal="left"/>
    </xf>
    <xf numFmtId="0" fontId="3" fillId="0" borderId="0" xfId="1" applyFont="1" applyBorder="1" applyAlignment="1">
      <alignment horizontal="left" vertical="center"/>
    </xf>
    <xf numFmtId="0" fontId="3" fillId="0" borderId="0" xfId="1" applyFont="1" applyAlignment="1"/>
    <xf numFmtId="0" fontId="3" fillId="0" borderId="0" xfId="1" applyFont="1" applyBorder="1" applyAlignment="1">
      <alignment horizontal="left"/>
    </xf>
    <xf numFmtId="0" fontId="5" fillId="0" borderId="0" xfId="1" applyFont="1" applyAlignment="1">
      <alignment vertical="center"/>
    </xf>
    <xf numFmtId="0" fontId="2" fillId="0" borderId="0" xfId="1" applyFont="1" applyBorder="1" applyAlignment="1">
      <alignment horizontal="left" wrapText="1"/>
    </xf>
    <xf numFmtId="0" fontId="6" fillId="4" borderId="2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left" wrapText="1"/>
    </xf>
    <xf numFmtId="0" fontId="7" fillId="5" borderId="3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 wrapText="1"/>
    </xf>
    <xf numFmtId="0" fontId="7" fillId="6" borderId="6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7" fillId="7" borderId="7" xfId="1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 wrapText="1"/>
    </xf>
    <xf numFmtId="0" fontId="7" fillId="7" borderId="9" xfId="1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 wrapText="1"/>
    </xf>
    <xf numFmtId="0" fontId="3" fillId="5" borderId="10" xfId="1" applyFont="1" applyFill="1" applyBorder="1" applyAlignment="1">
      <alignment horizontal="center" vertical="center" wrapText="1"/>
    </xf>
    <xf numFmtId="0" fontId="3" fillId="5" borderId="11" xfId="1" applyFont="1" applyFill="1" applyBorder="1" applyAlignment="1">
      <alignment horizontal="center" vertical="center" wrapText="1"/>
    </xf>
    <xf numFmtId="0" fontId="7" fillId="5" borderId="10" xfId="1" applyFont="1" applyFill="1" applyBorder="1" applyAlignment="1">
      <alignment horizontal="center" vertical="center" wrapText="1"/>
    </xf>
    <xf numFmtId="0" fontId="7" fillId="5" borderId="11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7" fillId="5" borderId="12" xfId="1" applyFont="1" applyFill="1" applyBorder="1" applyAlignment="1">
      <alignment horizontal="center" vertical="center" wrapText="1"/>
    </xf>
    <xf numFmtId="0" fontId="7" fillId="5" borderId="13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8" fillId="9" borderId="14" xfId="1" applyFont="1" applyFill="1" applyBorder="1" applyAlignment="1">
      <alignment horizontal="center" vertical="center" wrapText="1"/>
    </xf>
    <xf numFmtId="0" fontId="3" fillId="0" borderId="14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8" fillId="9" borderId="0" xfId="1" applyFont="1" applyFill="1" applyBorder="1" applyAlignment="1">
      <alignment horizontal="center" vertical="center" wrapText="1"/>
    </xf>
    <xf numFmtId="0" fontId="8" fillId="9" borderId="15" xfId="1" applyFont="1" applyFill="1" applyBorder="1" applyAlignment="1">
      <alignment horizontal="center" vertical="center" wrapText="1"/>
    </xf>
    <xf numFmtId="0" fontId="8" fillId="9" borderId="16" xfId="1" applyFont="1" applyFill="1" applyBorder="1" applyAlignment="1">
      <alignment horizontal="center" vertical="center" wrapText="1"/>
    </xf>
    <xf numFmtId="0" fontId="8" fillId="9" borderId="17" xfId="1" applyFont="1" applyFill="1" applyBorder="1" applyAlignment="1">
      <alignment horizontal="center" vertical="center" wrapText="1"/>
    </xf>
    <xf numFmtId="0" fontId="5" fillId="0" borderId="18" xfId="1" applyFont="1" applyBorder="1" applyAlignment="1">
      <alignment horizontal="right" vertical="center" wrapText="1"/>
    </xf>
    <xf numFmtId="2" fontId="5" fillId="0" borderId="19" xfId="1" applyNumberFormat="1" applyFont="1" applyBorder="1" applyAlignment="1">
      <alignment horizontal="center" vertical="center" wrapText="1"/>
    </xf>
    <xf numFmtId="2" fontId="5" fillId="0" borderId="20" xfId="1" applyNumberFormat="1" applyFont="1" applyBorder="1" applyAlignment="1">
      <alignment horizontal="center" vertical="center" wrapText="1"/>
    </xf>
    <xf numFmtId="2" fontId="5" fillId="0" borderId="21" xfId="1" applyNumberFormat="1" applyFont="1" applyBorder="1" applyAlignment="1">
      <alignment horizontal="center" vertical="center" wrapText="1"/>
    </xf>
    <xf numFmtId="2" fontId="5" fillId="0" borderId="22" xfId="1" applyNumberFormat="1" applyFont="1" applyBorder="1" applyAlignment="1">
      <alignment horizontal="center" vertical="center" wrapText="1"/>
    </xf>
    <xf numFmtId="2" fontId="5" fillId="0" borderId="21" xfId="1" applyNumberFormat="1" applyFont="1" applyBorder="1" applyAlignment="1">
      <alignment horizontal="center" vertical="center"/>
    </xf>
    <xf numFmtId="2" fontId="5" fillId="0" borderId="20" xfId="1" applyNumberFormat="1" applyFont="1" applyBorder="1" applyAlignment="1">
      <alignment horizontal="center" vertical="center"/>
    </xf>
    <xf numFmtId="2" fontId="5" fillId="0" borderId="21" xfId="1" applyNumberFormat="1" applyFont="1" applyBorder="1" applyAlignment="1">
      <alignment horizontal="center" vertical="center" wrapText="1"/>
    </xf>
    <xf numFmtId="2" fontId="5" fillId="0" borderId="23" xfId="1" applyNumberFormat="1" applyFont="1" applyBorder="1" applyAlignment="1">
      <alignment horizontal="center" vertical="center"/>
    </xf>
    <xf numFmtId="2" fontId="5" fillId="0" borderId="24" xfId="1" applyNumberFormat="1" applyFont="1" applyBorder="1" applyAlignment="1">
      <alignment horizontal="center" vertical="center"/>
    </xf>
    <xf numFmtId="2" fontId="5" fillId="0" borderId="25" xfId="1" applyNumberFormat="1" applyFont="1" applyBorder="1" applyAlignment="1">
      <alignment horizontal="center" vertical="center"/>
    </xf>
    <xf numFmtId="0" fontId="7" fillId="0" borderId="26" xfId="1" applyFont="1" applyFill="1" applyBorder="1" applyAlignment="1">
      <alignment vertical="center" wrapText="1"/>
    </xf>
    <xf numFmtId="0" fontId="3" fillId="0" borderId="0" xfId="1" applyFont="1" applyAlignment="1">
      <alignment vertical="center"/>
    </xf>
    <xf numFmtId="0" fontId="8" fillId="9" borderId="1" xfId="1" applyFont="1" applyFill="1" applyBorder="1" applyAlignment="1">
      <alignment horizontal="center" vertical="center" wrapText="1"/>
    </xf>
    <xf numFmtId="2" fontId="5" fillId="0" borderId="27" xfId="1" applyNumberFormat="1" applyFont="1" applyBorder="1" applyAlignment="1">
      <alignment horizontal="center" vertical="center" wrapText="1"/>
    </xf>
    <xf numFmtId="2" fontId="5" fillId="0" borderId="28" xfId="1" applyNumberFormat="1" applyFont="1" applyBorder="1" applyAlignment="1">
      <alignment horizontal="center" vertical="center" wrapText="1"/>
    </xf>
    <xf numFmtId="2" fontId="5" fillId="0" borderId="29" xfId="1" applyNumberFormat="1" applyFont="1" applyBorder="1" applyAlignment="1">
      <alignment horizontal="center" vertical="center" wrapText="1"/>
    </xf>
    <xf numFmtId="2" fontId="5" fillId="0" borderId="30" xfId="1" applyNumberFormat="1" applyFont="1" applyBorder="1" applyAlignment="1">
      <alignment horizontal="center" vertical="center" wrapText="1"/>
    </xf>
    <xf numFmtId="2" fontId="5" fillId="0" borderId="29" xfId="1" applyNumberFormat="1" applyFont="1" applyBorder="1" applyAlignment="1">
      <alignment horizontal="center" vertical="center"/>
    </xf>
    <xf numFmtId="2" fontId="5" fillId="0" borderId="28" xfId="1" applyNumberFormat="1" applyFont="1" applyBorder="1" applyAlignment="1">
      <alignment horizontal="center" vertical="center"/>
    </xf>
    <xf numFmtId="2" fontId="5" fillId="0" borderId="31" xfId="1" applyNumberFormat="1" applyFont="1" applyBorder="1" applyAlignment="1">
      <alignment horizontal="center" vertical="center" wrapText="1"/>
    </xf>
    <xf numFmtId="2" fontId="5" fillId="0" borderId="32" xfId="1" applyNumberFormat="1" applyFont="1" applyBorder="1" applyAlignment="1">
      <alignment horizontal="center" vertical="center" wrapText="1"/>
    </xf>
    <xf numFmtId="2" fontId="5" fillId="0" borderId="29" xfId="1" applyNumberFormat="1" applyFont="1" applyBorder="1" applyAlignment="1">
      <alignment horizontal="center" vertical="center" wrapText="1"/>
    </xf>
    <xf numFmtId="2" fontId="5" fillId="0" borderId="33" xfId="1" applyNumberFormat="1" applyFont="1" applyBorder="1" applyAlignment="1">
      <alignment horizontal="center" vertical="center"/>
    </xf>
    <xf numFmtId="2" fontId="5" fillId="0" borderId="34" xfId="1" applyNumberFormat="1" applyFont="1" applyBorder="1" applyAlignment="1">
      <alignment horizontal="center" vertical="center"/>
    </xf>
    <xf numFmtId="2" fontId="5" fillId="0" borderId="35" xfId="1" applyNumberFormat="1" applyFont="1" applyBorder="1" applyAlignment="1">
      <alignment horizontal="center" vertical="center"/>
    </xf>
    <xf numFmtId="0" fontId="7" fillId="0" borderId="0" xfId="1" applyFont="1" applyFill="1" applyBorder="1" applyAlignment="1">
      <alignment vertical="center" wrapText="1"/>
    </xf>
    <xf numFmtId="0" fontId="8" fillId="9" borderId="2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8" fillId="9" borderId="37" xfId="1" applyFont="1" applyFill="1" applyBorder="1" applyAlignment="1">
      <alignment horizontal="center" vertical="center" wrapText="1"/>
    </xf>
    <xf numFmtId="0" fontId="7" fillId="0" borderId="38" xfId="1" applyFont="1" applyBorder="1" applyAlignment="1">
      <alignment horizontal="left" vertical="center" wrapText="1"/>
    </xf>
    <xf numFmtId="2" fontId="3" fillId="0" borderId="39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2" fontId="10" fillId="0" borderId="19" xfId="1" applyNumberFormat="1" applyFont="1" applyFill="1" applyBorder="1" applyAlignment="1">
      <alignment horizontal="center" vertical="center"/>
    </xf>
    <xf numFmtId="2" fontId="10" fillId="0" borderId="20" xfId="1" applyNumberFormat="1" applyFont="1" applyFill="1" applyBorder="1" applyAlignment="1">
      <alignment horizontal="center" vertical="center"/>
    </xf>
    <xf numFmtId="2" fontId="10" fillId="0" borderId="20" xfId="1" applyNumberFormat="1" applyFont="1" applyFill="1" applyBorder="1" applyAlignment="1">
      <alignment horizontal="center" vertical="center"/>
    </xf>
    <xf numFmtId="2" fontId="10" fillId="0" borderId="40" xfId="1" applyNumberFormat="1" applyFont="1" applyFill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3" fillId="0" borderId="26" xfId="1" applyNumberFormat="1" applyFont="1" applyFill="1" applyBorder="1" applyAlignment="1">
      <alignment horizontal="center" vertical="center"/>
    </xf>
    <xf numFmtId="2" fontId="3" fillId="0" borderId="26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2" fontId="3" fillId="0" borderId="41" xfId="1" applyNumberFormat="1" applyFont="1" applyFill="1" applyBorder="1" applyAlignment="1">
      <alignment horizontal="center" vertical="center"/>
    </xf>
    <xf numFmtId="2" fontId="3" fillId="0" borderId="41" xfId="1" applyNumberFormat="1" applyFont="1" applyBorder="1" applyAlignment="1">
      <alignment horizontal="center" vertical="center"/>
    </xf>
    <xf numFmtId="1" fontId="3" fillId="0" borderId="41" xfId="1" applyNumberFormat="1" applyFont="1" applyBorder="1" applyAlignment="1">
      <alignment horizontal="center" vertical="center"/>
    </xf>
    <xf numFmtId="2" fontId="11" fillId="0" borderId="41" xfId="1" applyNumberFormat="1" applyFont="1" applyBorder="1" applyAlignment="1">
      <alignment horizontal="center" vertical="center"/>
    </xf>
    <xf numFmtId="1" fontId="3" fillId="0" borderId="42" xfId="1" applyNumberFormat="1" applyFont="1" applyBorder="1" applyAlignment="1">
      <alignment horizontal="center" vertical="center"/>
    </xf>
    <xf numFmtId="1" fontId="11" fillId="0" borderId="4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1" fillId="0" borderId="41" xfId="1" applyNumberFormat="1" applyFont="1" applyBorder="1" applyAlignment="1">
      <alignment horizontal="center" vertical="center"/>
    </xf>
    <xf numFmtId="1" fontId="3" fillId="0" borderId="41" xfId="1" applyNumberFormat="1" applyFont="1" applyBorder="1" applyAlignment="1">
      <alignment vertical="center"/>
    </xf>
    <xf numFmtId="0" fontId="3" fillId="0" borderId="41" xfId="1" applyFont="1" applyBorder="1" applyAlignment="1">
      <alignment vertical="center"/>
    </xf>
    <xf numFmtId="0" fontId="11" fillId="0" borderId="41" xfId="1" applyNumberFormat="1" applyFont="1" applyBorder="1" applyAlignment="1">
      <alignment vertical="center"/>
    </xf>
    <xf numFmtId="0" fontId="7" fillId="0" borderId="43" xfId="1" applyFont="1" applyBorder="1" applyAlignment="1">
      <alignment horizontal="left" vertical="center" wrapText="1"/>
    </xf>
    <xf numFmtId="2" fontId="10" fillId="0" borderId="44" xfId="1" applyNumberFormat="1" applyFont="1" applyFill="1" applyBorder="1" applyAlignment="1">
      <alignment horizontal="center" vertical="center"/>
    </xf>
    <xf numFmtId="2" fontId="10" fillId="0" borderId="45" xfId="1" applyNumberFormat="1" applyFont="1" applyFill="1" applyBorder="1" applyAlignment="1">
      <alignment horizontal="center" vertical="center"/>
    </xf>
    <xf numFmtId="2" fontId="10" fillId="0" borderId="45" xfId="1" applyNumberFormat="1" applyFont="1" applyFill="1" applyBorder="1" applyAlignment="1">
      <alignment horizontal="center" vertical="center"/>
    </xf>
    <xf numFmtId="2" fontId="10" fillId="0" borderId="46" xfId="1" applyNumberFormat="1" applyFont="1" applyFill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1" fontId="3" fillId="0" borderId="14" xfId="1" applyNumberFormat="1" applyFont="1" applyBorder="1" applyAlignment="1">
      <alignment horizontal="center" vertical="center"/>
    </xf>
    <xf numFmtId="2" fontId="11" fillId="0" borderId="14" xfId="1" applyNumberFormat="1" applyFont="1" applyBorder="1" applyAlignment="1">
      <alignment horizontal="center" vertical="center"/>
    </xf>
    <xf numFmtId="1" fontId="3" fillId="0" borderId="47" xfId="1" applyNumberFormat="1" applyFont="1" applyBorder="1" applyAlignment="1">
      <alignment horizontal="center" vertical="center"/>
    </xf>
    <xf numFmtId="1" fontId="11" fillId="0" borderId="14" xfId="1" applyNumberFormat="1" applyFont="1" applyBorder="1" applyAlignment="1">
      <alignment horizontal="center" vertical="center"/>
    </xf>
    <xf numFmtId="2" fontId="3" fillId="0" borderId="14" xfId="1" applyNumberFormat="1" applyFont="1" applyBorder="1" applyAlignment="1">
      <alignment horizontal="center" vertical="center"/>
    </xf>
    <xf numFmtId="0" fontId="11" fillId="0" borderId="14" xfId="1" applyNumberFormat="1" applyFont="1" applyBorder="1" applyAlignment="1">
      <alignment horizontal="center" vertical="center"/>
    </xf>
    <xf numFmtId="1" fontId="3" fillId="0" borderId="14" xfId="1" applyNumberFormat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11" fillId="0" borderId="14" xfId="1" applyNumberFormat="1" applyFont="1" applyBorder="1" applyAlignment="1">
      <alignment vertical="center"/>
    </xf>
    <xf numFmtId="0" fontId="7" fillId="0" borderId="48" xfId="1" applyFont="1" applyBorder="1" applyAlignment="1">
      <alignment horizontal="left" vertical="center" wrapText="1"/>
    </xf>
    <xf numFmtId="2" fontId="3" fillId="0" borderId="49" xfId="1" applyNumberFormat="1" applyFont="1" applyFill="1" applyBorder="1" applyAlignment="1">
      <alignment horizontal="center" vertical="center"/>
    </xf>
    <xf numFmtId="2" fontId="3" fillId="0" borderId="50" xfId="1" applyNumberFormat="1" applyFont="1" applyFill="1" applyBorder="1" applyAlignment="1">
      <alignment horizontal="center" vertical="center"/>
    </xf>
    <xf numFmtId="2" fontId="3" fillId="0" borderId="45" xfId="1" applyNumberFormat="1" applyFont="1" applyFill="1" applyBorder="1" applyAlignment="1">
      <alignment horizontal="center" vertical="center"/>
    </xf>
    <xf numFmtId="2" fontId="3" fillId="0" borderId="46" xfId="1" applyNumberFormat="1" applyFont="1" applyFill="1" applyBorder="1" applyAlignment="1">
      <alignment horizontal="center" vertical="center"/>
    </xf>
    <xf numFmtId="2" fontId="3" fillId="0" borderId="51" xfId="1" applyNumberFormat="1" applyFont="1" applyFill="1" applyBorder="1" applyAlignment="1">
      <alignment horizontal="center" vertical="center"/>
    </xf>
    <xf numFmtId="2" fontId="3" fillId="0" borderId="52" xfId="1" applyNumberFormat="1" applyFont="1" applyBorder="1" applyAlignment="1">
      <alignment horizontal="center" vertical="center"/>
    </xf>
    <xf numFmtId="0" fontId="3" fillId="0" borderId="52" xfId="1" applyFont="1" applyBorder="1" applyAlignment="1">
      <alignment vertical="center"/>
    </xf>
    <xf numFmtId="0" fontId="3" fillId="0" borderId="16" xfId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1" fontId="3" fillId="0" borderId="53" xfId="1" applyNumberFormat="1" applyFont="1" applyBorder="1" applyAlignment="1">
      <alignment horizontal="center" vertical="center"/>
    </xf>
    <xf numFmtId="2" fontId="3" fillId="0" borderId="16" xfId="1" applyNumberFormat="1" applyFont="1" applyBorder="1" applyAlignment="1">
      <alignment horizontal="center" vertical="center"/>
    </xf>
    <xf numFmtId="0" fontId="7" fillId="0" borderId="54" xfId="1" applyFont="1" applyBorder="1" applyAlignment="1">
      <alignment horizontal="left" vertical="center" wrapText="1"/>
    </xf>
    <xf numFmtId="2" fontId="3" fillId="0" borderId="55" xfId="1" applyNumberFormat="1" applyFont="1" applyFill="1" applyBorder="1" applyAlignment="1">
      <alignment horizontal="center" vertical="center"/>
    </xf>
    <xf numFmtId="2" fontId="3" fillId="0" borderId="56" xfId="1" applyNumberFormat="1" applyFont="1" applyFill="1" applyBorder="1" applyAlignment="1">
      <alignment horizontal="center" vertical="center"/>
    </xf>
    <xf numFmtId="2" fontId="3" fillId="0" borderId="57" xfId="1" applyNumberFormat="1" applyFont="1" applyFill="1" applyBorder="1" applyAlignment="1">
      <alignment horizontal="center" vertical="center"/>
    </xf>
    <xf numFmtId="2" fontId="3" fillId="0" borderId="58" xfId="1" applyNumberFormat="1" applyFont="1" applyFill="1" applyBorder="1" applyAlignment="1">
      <alignment horizontal="center" vertical="center"/>
    </xf>
    <xf numFmtId="2" fontId="3" fillId="0" borderId="59" xfId="1" applyNumberFormat="1" applyFont="1" applyFill="1" applyBorder="1" applyAlignment="1">
      <alignment horizontal="center" vertical="center"/>
    </xf>
    <xf numFmtId="2" fontId="3" fillId="0" borderId="60" xfId="1" quotePrefix="1" applyNumberFormat="1" applyFont="1" applyFill="1" applyBorder="1" applyAlignment="1">
      <alignment horizontal="center" vertical="center"/>
    </xf>
    <xf numFmtId="2" fontId="3" fillId="0" borderId="61" xfId="1" quotePrefix="1" applyNumberFormat="1" applyFont="1" applyFill="1" applyBorder="1" applyAlignment="1">
      <alignment horizontal="center" vertical="center"/>
    </xf>
    <xf numFmtId="2" fontId="3" fillId="0" borderId="60" xfId="1" applyNumberFormat="1" applyFont="1" applyFill="1" applyBorder="1" applyAlignment="1">
      <alignment horizontal="center" vertical="center"/>
    </xf>
    <xf numFmtId="2" fontId="3" fillId="0" borderId="61" xfId="1" applyNumberFormat="1" applyFont="1" applyFill="1" applyBorder="1" applyAlignment="1">
      <alignment horizontal="center" vertical="center"/>
    </xf>
    <xf numFmtId="2" fontId="3" fillId="0" borderId="62" xfId="1" applyNumberFormat="1" applyFont="1" applyFill="1" applyBorder="1" applyAlignment="1">
      <alignment horizontal="center" vertical="center"/>
    </xf>
    <xf numFmtId="2" fontId="3" fillId="10" borderId="0" xfId="1" applyNumberFormat="1" applyFont="1" applyFill="1" applyBorder="1" applyAlignment="1">
      <alignment horizontal="center" vertical="center"/>
    </xf>
    <xf numFmtId="2" fontId="3" fillId="0" borderId="19" xfId="1" applyNumberFormat="1" applyFont="1" applyBorder="1" applyAlignment="1">
      <alignment horizontal="center" vertical="center"/>
    </xf>
    <xf numFmtId="2" fontId="3" fillId="0" borderId="22" xfId="1" applyNumberFormat="1" applyFont="1" applyBorder="1" applyAlignment="1">
      <alignment horizontal="center" vertical="center"/>
    </xf>
    <xf numFmtId="2" fontId="3" fillId="0" borderId="20" xfId="1" applyNumberFormat="1" applyFont="1" applyBorder="1" applyAlignment="1">
      <alignment horizontal="center" vertical="center"/>
    </xf>
    <xf numFmtId="2" fontId="3" fillId="0" borderId="40" xfId="1" applyNumberFormat="1" applyFont="1" applyBorder="1" applyAlignment="1">
      <alignment horizontal="center" vertical="center"/>
    </xf>
    <xf numFmtId="0" fontId="3" fillId="0" borderId="19" xfId="1" applyFont="1" applyBorder="1" applyAlignment="1">
      <alignment vertical="center"/>
    </xf>
    <xf numFmtId="0" fontId="3" fillId="0" borderId="40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11" borderId="0" xfId="1" applyFont="1" applyFill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1" fontId="3" fillId="0" borderId="10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6" xfId="1" applyFont="1" applyBorder="1" applyAlignment="1">
      <alignment vertical="center"/>
    </xf>
    <xf numFmtId="2" fontId="3" fillId="0" borderId="63" xfId="1" applyNumberFormat="1" applyFont="1" applyFill="1" applyBorder="1" applyAlignment="1">
      <alignment horizontal="center" vertical="center"/>
    </xf>
    <xf numFmtId="2" fontId="3" fillId="0" borderId="47" xfId="1" applyNumberFormat="1" applyFont="1" applyFill="1" applyBorder="1" applyAlignment="1">
      <alignment horizontal="center" vertical="center"/>
    </xf>
    <xf numFmtId="2" fontId="3" fillId="0" borderId="18" xfId="1" applyNumberFormat="1" applyFont="1" applyFill="1" applyBorder="1" applyAlignment="1">
      <alignment horizontal="center" vertical="center"/>
    </xf>
    <xf numFmtId="2" fontId="3" fillId="11" borderId="0" xfId="1" applyNumberFormat="1" applyFont="1" applyFill="1" applyBorder="1" applyAlignment="1">
      <alignment horizontal="center" vertical="center"/>
    </xf>
    <xf numFmtId="2" fontId="3" fillId="0" borderId="44" xfId="1" applyNumberFormat="1" applyFont="1" applyBorder="1" applyAlignment="1">
      <alignment horizontal="center" vertical="center"/>
    </xf>
    <xf numFmtId="2" fontId="3" fillId="0" borderId="64" xfId="1" applyNumberFormat="1" applyFont="1" applyBorder="1" applyAlignment="1">
      <alignment horizontal="center" vertical="center"/>
    </xf>
    <xf numFmtId="2" fontId="3" fillId="0" borderId="45" xfId="1" applyNumberFormat="1" applyFont="1" applyBorder="1" applyAlignment="1">
      <alignment horizontal="center" vertical="center"/>
    </xf>
    <xf numFmtId="2" fontId="3" fillId="0" borderId="46" xfId="1" applyNumberFormat="1" applyFont="1" applyBorder="1" applyAlignment="1">
      <alignment horizontal="center" vertical="center"/>
    </xf>
    <xf numFmtId="0" fontId="3" fillId="0" borderId="44" xfId="1" applyFont="1" applyBorder="1" applyAlignment="1">
      <alignment vertical="center"/>
    </xf>
    <xf numFmtId="0" fontId="3" fillId="0" borderId="46" xfId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2" fontId="3" fillId="0" borderId="65" xfId="1" applyNumberFormat="1" applyFont="1" applyFill="1" applyBorder="1" applyAlignment="1">
      <alignment horizontal="center" vertical="center"/>
    </xf>
    <xf numFmtId="2" fontId="3" fillId="0" borderId="50" xfId="1" applyNumberFormat="1" applyFont="1" applyFill="1" applyBorder="1" applyAlignment="1">
      <alignment horizontal="center" vertical="center"/>
    </xf>
    <xf numFmtId="2" fontId="3" fillId="0" borderId="31" xfId="1" applyNumberFormat="1" applyFont="1" applyFill="1" applyBorder="1" applyAlignment="1">
      <alignment horizontal="center" vertical="center"/>
    </xf>
    <xf numFmtId="2" fontId="3" fillId="0" borderId="66" xfId="1" applyNumberFormat="1" applyFont="1" applyFill="1" applyBorder="1" applyAlignment="1">
      <alignment horizontal="center" vertical="center"/>
    </xf>
    <xf numFmtId="2" fontId="3" fillId="0" borderId="67" xfId="1" applyNumberFormat="1" applyFont="1" applyFill="1" applyBorder="1" applyAlignment="1">
      <alignment horizontal="center" vertical="center"/>
    </xf>
    <xf numFmtId="2" fontId="3" fillId="0" borderId="32" xfId="1" applyNumberFormat="1" applyFont="1" applyBorder="1" applyAlignment="1">
      <alignment horizontal="center" vertical="center"/>
    </xf>
    <xf numFmtId="2" fontId="3" fillId="0" borderId="50" xfId="1" applyNumberFormat="1" applyFont="1" applyBorder="1" applyAlignment="1">
      <alignment horizontal="center" vertical="center"/>
    </xf>
    <xf numFmtId="2" fontId="3" fillId="0" borderId="67" xfId="1" applyNumberFormat="1" applyFont="1" applyBorder="1" applyAlignment="1">
      <alignment horizontal="center" vertical="center"/>
    </xf>
    <xf numFmtId="0" fontId="7" fillId="0" borderId="68" xfId="1" applyFont="1" applyBorder="1" applyAlignment="1">
      <alignment horizontal="left" vertical="center" wrapText="1"/>
    </xf>
    <xf numFmtId="2" fontId="3" fillId="0" borderId="19" xfId="1" applyNumberFormat="1" applyFont="1" applyFill="1" applyBorder="1" applyAlignment="1">
      <alignment horizontal="center" vertical="center"/>
    </xf>
    <xf numFmtId="2" fontId="3" fillId="0" borderId="69" xfId="1" applyNumberFormat="1" applyFont="1" applyBorder="1" applyAlignment="1">
      <alignment horizontal="center" vertical="center"/>
    </xf>
    <xf numFmtId="0" fontId="7" fillId="0" borderId="70" xfId="1" applyFont="1" applyBorder="1" applyAlignment="1">
      <alignment horizontal="left" vertical="center" wrapText="1"/>
    </xf>
    <xf numFmtId="2" fontId="3" fillId="0" borderId="44" xfId="1" applyNumberFormat="1" applyFont="1" applyFill="1" applyBorder="1" applyAlignment="1">
      <alignment horizontal="center" vertical="center"/>
    </xf>
    <xf numFmtId="2" fontId="3" fillId="0" borderId="14" xfId="1" applyNumberFormat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2" fontId="3" fillId="11" borderId="71" xfId="1" applyNumberFormat="1" applyFont="1" applyFill="1" applyBorder="1" applyAlignment="1">
      <alignment horizontal="center" vertical="center"/>
    </xf>
    <xf numFmtId="0" fontId="3" fillId="10" borderId="0" xfId="1" applyFont="1" applyFill="1" applyBorder="1" applyAlignment="1">
      <alignment vertical="center"/>
    </xf>
    <xf numFmtId="2" fontId="3" fillId="0" borderId="72" xfId="1" applyNumberFormat="1" applyFont="1" applyBorder="1" applyAlignment="1">
      <alignment horizontal="center" vertical="center"/>
    </xf>
    <xf numFmtId="1" fontId="3" fillId="0" borderId="73" xfId="1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/>
    </xf>
    <xf numFmtId="2" fontId="3" fillId="11" borderId="74" xfId="1" applyNumberFormat="1" applyFont="1" applyFill="1" applyBorder="1" applyAlignment="1">
      <alignment horizontal="center" vertical="center"/>
    </xf>
    <xf numFmtId="2" fontId="3" fillId="0" borderId="64" xfId="1" applyNumberFormat="1" applyFont="1" applyFill="1" applyBorder="1" applyAlignment="1">
      <alignment horizontal="center" vertical="center"/>
    </xf>
    <xf numFmtId="0" fontId="3" fillId="0" borderId="75" xfId="1" applyFont="1" applyBorder="1" applyAlignment="1">
      <alignment vertical="center"/>
    </xf>
    <xf numFmtId="0" fontId="3" fillId="0" borderId="71" xfId="1" applyFont="1" applyBorder="1" applyAlignment="1">
      <alignment vertical="center"/>
    </xf>
    <xf numFmtId="1" fontId="11" fillId="0" borderId="72" xfId="1" applyNumberFormat="1" applyFont="1" applyBorder="1" applyAlignment="1">
      <alignment horizontal="center" vertical="center"/>
    </xf>
    <xf numFmtId="2" fontId="3" fillId="0" borderId="76" xfId="1" applyNumberFormat="1" applyFont="1" applyFill="1" applyBorder="1" applyAlignment="1">
      <alignment horizontal="center" vertical="center"/>
    </xf>
    <xf numFmtId="2" fontId="3" fillId="0" borderId="77" xfId="1" applyNumberFormat="1" applyFont="1" applyFill="1" applyBorder="1" applyAlignment="1">
      <alignment horizontal="center" vertical="center"/>
    </xf>
    <xf numFmtId="2" fontId="3" fillId="0" borderId="78" xfId="1" applyNumberFormat="1" applyFont="1" applyFill="1" applyBorder="1" applyAlignment="1">
      <alignment horizontal="center" vertical="center"/>
    </xf>
    <xf numFmtId="2" fontId="3" fillId="0" borderId="79" xfId="1" applyNumberFormat="1" applyFont="1" applyFill="1" applyBorder="1" applyAlignment="1">
      <alignment horizontal="center" vertical="center"/>
    </xf>
    <xf numFmtId="2" fontId="3" fillId="12" borderId="80" xfId="1" applyNumberFormat="1" applyFont="1" applyFill="1" applyBorder="1" applyAlignment="1">
      <alignment horizontal="center" vertical="center"/>
    </xf>
    <xf numFmtId="2" fontId="3" fillId="12" borderId="81" xfId="1" applyNumberFormat="1" applyFont="1" applyFill="1" applyBorder="1" applyAlignment="1">
      <alignment horizontal="center" vertical="center"/>
    </xf>
    <xf numFmtId="2" fontId="3" fillId="0" borderId="82" xfId="1" applyNumberFormat="1" applyFont="1" applyFill="1" applyBorder="1" applyAlignment="1">
      <alignment horizontal="center" vertical="center"/>
    </xf>
    <xf numFmtId="2" fontId="3" fillId="0" borderId="83" xfId="1" applyNumberFormat="1" applyFont="1" applyFill="1" applyBorder="1" applyAlignment="1">
      <alignment horizontal="center" vertical="center"/>
    </xf>
    <xf numFmtId="2" fontId="3" fillId="0" borderId="29" xfId="1" applyNumberFormat="1" applyFont="1" applyFill="1" applyBorder="1" applyAlignment="1">
      <alignment horizontal="center" vertical="center"/>
    </xf>
    <xf numFmtId="2" fontId="3" fillId="0" borderId="84" xfId="1" applyNumberFormat="1" applyFont="1" applyFill="1" applyBorder="1" applyAlignment="1">
      <alignment horizontal="center" vertical="center"/>
    </xf>
    <xf numFmtId="2" fontId="3" fillId="0" borderId="85" xfId="1" applyNumberFormat="1" applyFont="1" applyFill="1" applyBorder="1" applyAlignment="1">
      <alignment horizontal="center" vertical="center"/>
    </xf>
    <xf numFmtId="0" fontId="3" fillId="0" borderId="27" xfId="1" applyFont="1" applyBorder="1" applyAlignment="1">
      <alignment vertical="center"/>
    </xf>
    <xf numFmtId="0" fontId="3" fillId="0" borderId="84" xfId="1" applyFont="1" applyBorder="1" applyAlignment="1">
      <alignment vertical="center"/>
    </xf>
    <xf numFmtId="2" fontId="11" fillId="0" borderId="72" xfId="1" applyNumberFormat="1" applyFont="1" applyBorder="1" applyAlignment="1">
      <alignment horizontal="center" vertical="center"/>
    </xf>
    <xf numFmtId="0" fontId="11" fillId="0" borderId="72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vertical="center"/>
    </xf>
    <xf numFmtId="0" fontId="7" fillId="0" borderId="86" xfId="1" applyFont="1" applyBorder="1" applyAlignment="1">
      <alignment horizontal="left" vertical="center" wrapText="1"/>
    </xf>
    <xf numFmtId="164" fontId="3" fillId="0" borderId="0" xfId="1" applyNumberFormat="1" applyFont="1" applyAlignment="1">
      <alignment horizontal="center" vertical="center"/>
    </xf>
    <xf numFmtId="164" fontId="10" fillId="0" borderId="26" xfId="1" applyNumberFormat="1" applyFont="1" applyFill="1" applyBorder="1" applyAlignment="1">
      <alignment horizontal="center" vertical="center"/>
    </xf>
    <xf numFmtId="2" fontId="3" fillId="0" borderId="27" xfId="1" applyNumberFormat="1" applyFont="1" applyBorder="1" applyAlignment="1">
      <alignment horizontal="center" vertical="center"/>
    </xf>
    <xf numFmtId="2" fontId="3" fillId="0" borderId="28" xfId="1" applyNumberFormat="1" applyFont="1" applyBorder="1" applyAlignment="1">
      <alignment horizontal="center" vertical="center"/>
    </xf>
    <xf numFmtId="2" fontId="3" fillId="0" borderId="84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12" fillId="13" borderId="87" xfId="1" applyFont="1" applyFill="1" applyBorder="1" applyAlignment="1">
      <alignment horizontal="center" vertical="center" wrapText="1"/>
    </xf>
    <xf numFmtId="0" fontId="12" fillId="13" borderId="87" xfId="1" applyFont="1" applyFill="1" applyBorder="1" applyAlignment="1">
      <alignment horizontal="center" vertical="center" wrapText="1"/>
    </xf>
    <xf numFmtId="0" fontId="12" fillId="13" borderId="87" xfId="1" applyFont="1" applyFill="1" applyBorder="1" applyAlignment="1">
      <alignment horizontal="center" vertical="center"/>
    </xf>
    <xf numFmtId="0" fontId="12" fillId="13" borderId="87" xfId="1" applyFont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vertical="center"/>
    </xf>
    <xf numFmtId="0" fontId="3" fillId="13" borderId="0" xfId="1" applyFont="1" applyFill="1" applyBorder="1" applyAlignment="1">
      <alignment horizontal="center" vertical="center"/>
    </xf>
    <xf numFmtId="0" fontId="3" fillId="0" borderId="88" xfId="1" applyFont="1" applyBorder="1" applyAlignment="1">
      <alignment horizontal="center" vertical="center" wrapText="1"/>
    </xf>
    <xf numFmtId="0" fontId="3" fillId="0" borderId="89" xfId="1" applyFont="1" applyBorder="1" applyAlignment="1">
      <alignment horizontal="center" vertical="center" wrapText="1"/>
    </xf>
    <xf numFmtId="0" fontId="3" fillId="0" borderId="90" xfId="1" applyFont="1" applyBorder="1" applyAlignment="1">
      <alignment horizontal="center" vertical="center" wrapText="1"/>
    </xf>
    <xf numFmtId="0" fontId="3" fillId="0" borderId="91" xfId="1" applyFont="1" applyBorder="1" applyAlignment="1">
      <alignment horizontal="center" vertical="center" wrapText="1"/>
    </xf>
    <xf numFmtId="0" fontId="3" fillId="0" borderId="92" xfId="1" applyFont="1" applyBorder="1" applyAlignment="1">
      <alignment horizontal="center" vertical="center" wrapText="1"/>
    </xf>
    <xf numFmtId="0" fontId="3" fillId="0" borderId="93" xfId="1" applyFont="1" applyBorder="1" applyAlignment="1">
      <alignment horizontal="center" vertical="center" wrapText="1"/>
    </xf>
    <xf numFmtId="0" fontId="3" fillId="0" borderId="94" xfId="1" applyFont="1" applyBorder="1" applyAlignment="1">
      <alignment horizontal="center" vertical="center" wrapText="1"/>
    </xf>
    <xf numFmtId="0" fontId="3" fillId="13" borderId="41" xfId="1" applyFont="1" applyFill="1" applyBorder="1" applyAlignment="1">
      <alignment horizontal="center" vertical="center"/>
    </xf>
    <xf numFmtId="0" fontId="3" fillId="13" borderId="42" xfId="1" applyFont="1" applyFill="1" applyBorder="1" applyAlignment="1">
      <alignment horizontal="left" vertical="center"/>
    </xf>
    <xf numFmtId="0" fontId="3" fillId="13" borderId="26" xfId="1" applyFont="1" applyFill="1" applyBorder="1" applyAlignment="1">
      <alignment horizontal="left" vertical="center"/>
    </xf>
    <xf numFmtId="0" fontId="3" fillId="13" borderId="95" xfId="1" applyFont="1" applyFill="1" applyBorder="1" applyAlignment="1">
      <alignment horizontal="left" vertical="center"/>
    </xf>
    <xf numFmtId="2" fontId="3" fillId="0" borderId="1" xfId="1" applyNumberFormat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top"/>
    </xf>
    <xf numFmtId="2" fontId="3" fillId="2" borderId="0" xfId="1" applyNumberFormat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5" fillId="9" borderId="1" xfId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2" fontId="3" fillId="0" borderId="96" xfId="1" applyNumberFormat="1" applyFont="1" applyFill="1" applyBorder="1" applyAlignment="1">
      <alignment horizontal="right" vertical="center"/>
    </xf>
    <xf numFmtId="0" fontId="3" fillId="0" borderId="66" xfId="1" applyFont="1" applyFill="1" applyBorder="1" applyAlignment="1">
      <alignment horizontal="center" vertical="center"/>
    </xf>
    <xf numFmtId="2" fontId="3" fillId="0" borderId="97" xfId="1" applyNumberFormat="1" applyFont="1" applyFill="1" applyBorder="1" applyAlignment="1">
      <alignment horizontal="left" vertical="center"/>
    </xf>
    <xf numFmtId="0" fontId="3" fillId="0" borderId="98" xfId="1" applyFont="1" applyFill="1" applyBorder="1" applyAlignment="1">
      <alignment horizontal="center" vertical="center"/>
    </xf>
    <xf numFmtId="0" fontId="3" fillId="13" borderId="47" xfId="1" applyFont="1" applyFill="1" applyBorder="1" applyAlignment="1">
      <alignment horizontal="center" vertical="center"/>
    </xf>
    <xf numFmtId="0" fontId="16" fillId="13" borderId="42" xfId="1" applyFont="1" applyFill="1" applyBorder="1" applyAlignment="1">
      <alignment horizontal="center" vertical="center"/>
    </xf>
    <xf numFmtId="0" fontId="16" fillId="13" borderId="26" xfId="1" applyFont="1" applyFill="1" applyBorder="1" applyAlignment="1">
      <alignment horizontal="center" vertical="center"/>
    </xf>
    <xf numFmtId="0" fontId="16" fillId="13" borderId="95" xfId="1" applyFont="1" applyFill="1" applyBorder="1" applyAlignment="1">
      <alignment horizontal="center" vertical="center"/>
    </xf>
    <xf numFmtId="0" fontId="3" fillId="0" borderId="0" xfId="1" applyFont="1" applyAlignment="1">
      <alignment horizontal="right" vertical="center" wrapText="1"/>
    </xf>
    <xf numFmtId="0" fontId="14" fillId="0" borderId="0" xfId="1" applyFont="1" applyAlignment="1">
      <alignment horizontal="center"/>
    </xf>
    <xf numFmtId="0" fontId="15" fillId="9" borderId="1" xfId="1" applyFont="1" applyFill="1" applyBorder="1" applyAlignment="1">
      <alignment horizontal="center" vertical="center"/>
    </xf>
    <xf numFmtId="165" fontId="2" fillId="0" borderId="27" xfId="1" applyNumberFormat="1" applyFont="1" applyFill="1" applyBorder="1" applyAlignment="1">
      <alignment horizontal="center" vertical="center"/>
    </xf>
    <xf numFmtId="165" fontId="2" fillId="0" borderId="28" xfId="1" applyNumberFormat="1" applyFont="1" applyFill="1" applyBorder="1" applyAlignment="1">
      <alignment horizontal="center" vertical="center"/>
    </xf>
    <xf numFmtId="2" fontId="3" fillId="0" borderId="99" xfId="1" applyNumberFormat="1" applyFont="1" applyFill="1" applyBorder="1" applyAlignment="1">
      <alignment horizontal="right" vertical="center"/>
    </xf>
    <xf numFmtId="0" fontId="3" fillId="0" borderId="87" xfId="1" applyFont="1" applyFill="1" applyBorder="1" applyAlignment="1">
      <alignment horizontal="center" vertical="center"/>
    </xf>
    <xf numFmtId="2" fontId="3" fillId="0" borderId="100" xfId="1" applyNumberFormat="1" applyFont="1" applyFill="1" applyBorder="1" applyAlignment="1">
      <alignment horizontal="left" vertical="center"/>
    </xf>
    <xf numFmtId="0" fontId="3" fillId="0" borderId="72" xfId="1" applyFont="1" applyFill="1" applyBorder="1" applyAlignment="1">
      <alignment horizontal="center" vertical="center"/>
    </xf>
    <xf numFmtId="0" fontId="3" fillId="13" borderId="99" xfId="1" applyFont="1" applyFill="1" applyBorder="1" applyAlignment="1">
      <alignment horizontal="center" vertical="center"/>
    </xf>
    <xf numFmtId="0" fontId="16" fillId="13" borderId="99" xfId="1" applyFont="1" applyFill="1" applyBorder="1" applyAlignment="1">
      <alignment horizontal="center" vertical="center"/>
    </xf>
    <xf numFmtId="0" fontId="16" fillId="13" borderId="87" xfId="1" applyFont="1" applyFill="1" applyBorder="1" applyAlignment="1">
      <alignment horizontal="center" vertical="center"/>
    </xf>
    <xf numFmtId="0" fontId="16" fillId="13" borderId="100" xfId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01" xfId="1" applyFont="1" applyBorder="1" applyAlignment="1">
      <alignment horizontal="center" vertical="center"/>
    </xf>
    <xf numFmtId="0" fontId="3" fillId="0" borderId="102" xfId="1" applyFont="1" applyBorder="1" applyAlignment="1">
      <alignment horizontal="center" vertical="center"/>
    </xf>
    <xf numFmtId="0" fontId="3" fillId="13" borderId="0" xfId="1" applyFont="1" applyFill="1" applyBorder="1" applyAlignment="1">
      <alignment vertical="center"/>
    </xf>
    <xf numFmtId="0" fontId="14" fillId="13" borderId="0" xfId="1" applyFont="1" applyFill="1" applyBorder="1" applyAlignment="1">
      <alignment vertical="top"/>
    </xf>
    <xf numFmtId="0" fontId="3" fillId="0" borderId="0" xfId="1" applyFont="1" applyBorder="1" applyAlignment="1">
      <alignment horizontal="left" vertical="center" wrapText="1"/>
    </xf>
    <xf numFmtId="0" fontId="2" fillId="14" borderId="1" xfId="1" applyFont="1" applyFill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101" xfId="1" applyFont="1" applyBorder="1" applyAlignment="1">
      <alignment horizontal="center" vertical="center"/>
    </xf>
    <xf numFmtId="0" fontId="17" fillId="0" borderId="102" xfId="1" applyFont="1" applyBorder="1" applyAlignment="1">
      <alignment horizontal="center" vertical="center"/>
    </xf>
    <xf numFmtId="0" fontId="18" fillId="0" borderId="18" xfId="1" applyFont="1" applyBorder="1" applyAlignment="1">
      <alignment horizontal="left" vertical="center" wrapText="1"/>
    </xf>
    <xf numFmtId="0" fontId="7" fillId="0" borderId="103" xfId="1" applyFont="1" applyBorder="1" applyAlignment="1">
      <alignment horizontal="center" vertical="center" wrapText="1"/>
    </xf>
    <xf numFmtId="0" fontId="7" fillId="0" borderId="104" xfId="1" applyFont="1" applyBorder="1" applyAlignment="1">
      <alignment horizontal="center" vertical="center" wrapText="1"/>
    </xf>
    <xf numFmtId="0" fontId="7" fillId="0" borderId="105" xfId="1" applyFont="1" applyBorder="1" applyAlignment="1">
      <alignment horizontal="center" vertical="center" wrapText="1"/>
    </xf>
    <xf numFmtId="0" fontId="7" fillId="0" borderId="106" xfId="1" applyFont="1" applyBorder="1" applyAlignment="1">
      <alignment horizontal="center" vertical="center" wrapText="1"/>
    </xf>
    <xf numFmtId="0" fontId="7" fillId="0" borderId="105" xfId="1" applyFont="1" applyBorder="1" applyAlignment="1">
      <alignment horizontal="center" vertical="center" wrapText="1"/>
    </xf>
    <xf numFmtId="0" fontId="3" fillId="0" borderId="105" xfId="1" applyFont="1" applyBorder="1" applyAlignment="1">
      <alignment horizontal="center" vertical="center" wrapText="1"/>
    </xf>
    <xf numFmtId="0" fontId="7" fillId="0" borderId="107" xfId="1" applyFont="1" applyBorder="1" applyAlignment="1">
      <alignment horizontal="center" vertical="center" wrapText="1"/>
    </xf>
    <xf numFmtId="0" fontId="3" fillId="0" borderId="107" xfId="1" applyFont="1" applyBorder="1" applyAlignment="1">
      <alignment horizontal="center" vertical="center" wrapText="1"/>
    </xf>
    <xf numFmtId="0" fontId="3" fillId="15" borderId="108" xfId="1" applyFont="1" applyFill="1" applyBorder="1" applyAlignment="1">
      <alignment horizontal="center" vertical="center" wrapText="1"/>
    </xf>
    <xf numFmtId="0" fontId="3" fillId="15" borderId="109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2" fontId="5" fillId="0" borderId="19" xfId="1" applyNumberFormat="1" applyFont="1" applyFill="1" applyBorder="1" applyAlignment="1">
      <alignment horizontal="center" vertical="center"/>
    </xf>
    <xf numFmtId="2" fontId="5" fillId="0" borderId="20" xfId="1" applyNumberFormat="1" applyFont="1" applyFill="1" applyBorder="1" applyAlignment="1">
      <alignment horizontal="center" vertical="center"/>
    </xf>
    <xf numFmtId="165" fontId="5" fillId="0" borderId="20" xfId="1" applyNumberFormat="1" applyFont="1" applyBorder="1" applyAlignment="1">
      <alignment horizontal="center" vertical="center" wrapText="1"/>
    </xf>
    <xf numFmtId="165" fontId="5" fillId="0" borderId="21" xfId="1" applyNumberFormat="1" applyFont="1" applyBorder="1" applyAlignment="1">
      <alignment horizontal="center" vertical="center" wrapText="1"/>
    </xf>
    <xf numFmtId="2" fontId="5" fillId="0" borderId="40" xfId="1" applyNumberFormat="1" applyFont="1" applyFill="1" applyBorder="1" applyAlignment="1">
      <alignment horizontal="center" vertical="center"/>
    </xf>
    <xf numFmtId="0" fontId="3" fillId="0" borderId="42" xfId="1" applyFont="1" applyBorder="1" applyAlignment="1">
      <alignment vertical="center"/>
    </xf>
    <xf numFmtId="0" fontId="3" fillId="0" borderId="95" xfId="1" applyFont="1" applyBorder="1" applyAlignment="1">
      <alignment vertical="center"/>
    </xf>
    <xf numFmtId="2" fontId="5" fillId="0" borderId="27" xfId="1" applyNumberFormat="1" applyFont="1" applyFill="1" applyBorder="1" applyAlignment="1">
      <alignment horizontal="center" vertical="center"/>
    </xf>
    <xf numFmtId="2" fontId="5" fillId="0" borderId="50" xfId="1" applyNumberFormat="1" applyFont="1" applyFill="1" applyBorder="1" applyAlignment="1">
      <alignment horizontal="center" vertical="center"/>
    </xf>
    <xf numFmtId="2" fontId="5" fillId="0" borderId="28" xfId="1" applyNumberFormat="1" applyFont="1" applyFill="1" applyBorder="1" applyAlignment="1">
      <alignment horizontal="center" vertical="center"/>
    </xf>
    <xf numFmtId="165" fontId="5" fillId="0" borderId="28" xfId="1" applyNumberFormat="1" applyFont="1" applyBorder="1" applyAlignment="1">
      <alignment horizontal="center" vertical="center" wrapText="1"/>
    </xf>
    <xf numFmtId="165" fontId="5" fillId="0" borderId="29" xfId="1" applyNumberFormat="1" applyFont="1" applyBorder="1" applyAlignment="1">
      <alignment horizontal="center" vertical="center" wrapText="1"/>
    </xf>
    <xf numFmtId="2" fontId="5" fillId="0" borderId="84" xfId="1" applyNumberFormat="1" applyFont="1" applyFill="1" applyBorder="1" applyAlignment="1">
      <alignment horizontal="center" vertical="center"/>
    </xf>
    <xf numFmtId="0" fontId="3" fillId="0" borderId="47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7" fillId="0" borderId="110" xfId="1" applyFont="1" applyBorder="1" applyAlignment="1">
      <alignment horizontal="left" vertical="center" wrapText="1"/>
    </xf>
    <xf numFmtId="2" fontId="3" fillId="0" borderId="26" xfId="1" applyNumberFormat="1" applyFont="1" applyBorder="1" applyAlignment="1">
      <alignment vertical="center"/>
    </xf>
    <xf numFmtId="2" fontId="3" fillId="0" borderId="0" xfId="1" applyNumberFormat="1" applyFont="1" applyBorder="1" applyAlignment="1">
      <alignment vertical="center"/>
    </xf>
    <xf numFmtId="0" fontId="7" fillId="0" borderId="111" xfId="1" applyFont="1" applyBorder="1" applyAlignment="1">
      <alignment horizontal="left" vertical="center" wrapText="1"/>
    </xf>
    <xf numFmtId="2" fontId="3" fillId="0" borderId="87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2" fontId="3" fillId="0" borderId="87" xfId="1" applyNumberFormat="1" applyFont="1" applyBorder="1" applyAlignment="1">
      <alignment vertical="center"/>
    </xf>
    <xf numFmtId="0" fontId="3" fillId="0" borderId="99" xfId="1" applyFont="1" applyBorder="1" applyAlignment="1">
      <alignment vertical="center"/>
    </xf>
    <xf numFmtId="0" fontId="3" fillId="0" borderId="100" xfId="1" applyFont="1" applyBorder="1" applyAlignment="1">
      <alignment vertical="center"/>
    </xf>
    <xf numFmtId="2" fontId="3" fillId="0" borderId="92" xfId="1" applyNumberFormat="1" applyFont="1" applyFill="1" applyBorder="1" applyAlignment="1">
      <alignment horizontal="center" vertical="center"/>
    </xf>
    <xf numFmtId="2" fontId="3" fillId="0" borderId="42" xfId="1" applyNumberFormat="1" applyFont="1" applyFill="1" applyBorder="1" applyAlignment="1">
      <alignment horizontal="center" vertical="center"/>
    </xf>
    <xf numFmtId="2" fontId="3" fillId="0" borderId="69" xfId="1" applyNumberFormat="1" applyFont="1" applyFill="1" applyBorder="1" applyAlignment="1">
      <alignment horizontal="center" vertical="center"/>
    </xf>
    <xf numFmtId="2" fontId="3" fillId="0" borderId="112" xfId="1" applyNumberFormat="1" applyFont="1" applyFill="1" applyBorder="1" applyAlignment="1">
      <alignment horizontal="center" vertical="center"/>
    </xf>
    <xf numFmtId="2" fontId="3" fillId="0" borderId="20" xfId="1" applyNumberFormat="1" applyFont="1" applyFill="1" applyBorder="1" applyAlignment="1">
      <alignment horizontal="center" vertical="center"/>
    </xf>
    <xf numFmtId="2" fontId="3" fillId="0" borderId="21" xfId="1" applyNumberFormat="1" applyFont="1" applyFill="1" applyBorder="1" applyAlignment="1">
      <alignment horizontal="center" vertical="center"/>
    </xf>
    <xf numFmtId="2" fontId="3" fillId="0" borderId="71" xfId="1" applyNumberFormat="1" applyFont="1" applyBorder="1" applyAlignment="1">
      <alignment horizontal="center" vertical="center"/>
    </xf>
    <xf numFmtId="2" fontId="3" fillId="0" borderId="18" xfId="1" applyNumberFormat="1" applyFont="1" applyFill="1" applyBorder="1" applyAlignment="1">
      <alignment horizontal="center" vertical="center"/>
    </xf>
    <xf numFmtId="2" fontId="3" fillId="0" borderId="113" xfId="1" applyNumberFormat="1" applyFont="1" applyBorder="1" applyAlignment="1">
      <alignment horizontal="center" vertical="center"/>
    </xf>
    <xf numFmtId="2" fontId="3" fillId="0" borderId="24" xfId="1" applyNumberFormat="1" applyFont="1" applyBorder="1" applyAlignment="1">
      <alignment horizontal="center" vertical="center"/>
    </xf>
    <xf numFmtId="2" fontId="3" fillId="0" borderId="25" xfId="1" applyNumberFormat="1" applyFont="1" applyBorder="1" applyAlignment="1">
      <alignment horizontal="center" vertical="center"/>
    </xf>
    <xf numFmtId="2" fontId="3" fillId="0" borderId="40" xfId="1" applyNumberFormat="1" applyFont="1" applyFill="1" applyBorder="1" applyAlignment="1">
      <alignment horizontal="center" vertical="center"/>
    </xf>
    <xf numFmtId="2" fontId="3" fillId="0" borderId="114" xfId="1" applyNumberFormat="1" applyFont="1" applyBorder="1" applyAlignment="1">
      <alignment horizontal="center" vertical="center"/>
    </xf>
    <xf numFmtId="2" fontId="3" fillId="0" borderId="115" xfId="1" applyNumberFormat="1" applyFont="1" applyBorder="1" applyAlignment="1">
      <alignment horizontal="center" vertical="center"/>
    </xf>
    <xf numFmtId="2" fontId="3" fillId="0" borderId="116" xfId="1" applyNumberFormat="1" applyFont="1" applyBorder="1" applyAlignment="1">
      <alignment horizontal="center" vertical="center"/>
    </xf>
    <xf numFmtId="2" fontId="3" fillId="0" borderId="32" xfId="1" applyNumberFormat="1" applyFont="1" applyFill="1" applyBorder="1" applyAlignment="1">
      <alignment horizontal="center" vertical="center"/>
    </xf>
    <xf numFmtId="2" fontId="3" fillId="0" borderId="117" xfId="1" applyNumberFormat="1" applyFont="1" applyBorder="1" applyAlignment="1">
      <alignment horizontal="center" vertical="center"/>
    </xf>
    <xf numFmtId="2" fontId="3" fillId="0" borderId="118" xfId="1" applyNumberFormat="1" applyFont="1" applyBorder="1" applyAlignment="1">
      <alignment horizontal="center" vertical="center"/>
    </xf>
    <xf numFmtId="2" fontId="3" fillId="0" borderId="119" xfId="1" applyNumberFormat="1" applyFont="1" applyBorder="1" applyAlignment="1">
      <alignment horizontal="center" vertical="center"/>
    </xf>
    <xf numFmtId="2" fontId="3" fillId="0" borderId="49" xfId="1" applyNumberFormat="1" applyFont="1" applyFill="1" applyBorder="1" applyAlignment="1">
      <alignment horizontal="center" vertical="center"/>
    </xf>
    <xf numFmtId="0" fontId="3" fillId="0" borderId="72" xfId="1" applyFont="1" applyBorder="1" applyAlignment="1">
      <alignment vertical="center"/>
    </xf>
    <xf numFmtId="2" fontId="3" fillId="0" borderId="120" xfId="1" applyNumberFormat="1" applyFont="1" applyFill="1" applyBorder="1" applyAlignment="1">
      <alignment horizontal="center" vertical="center"/>
    </xf>
    <xf numFmtId="0" fontId="7" fillId="0" borderId="121" xfId="1" applyFont="1" applyBorder="1" applyAlignment="1">
      <alignment horizontal="left" vertical="center" wrapText="1"/>
    </xf>
    <xf numFmtId="2" fontId="3" fillId="0" borderId="122" xfId="1" applyNumberFormat="1" applyFont="1" applyFill="1" applyBorder="1" applyAlignment="1">
      <alignment horizontal="center" vertical="center"/>
    </xf>
    <xf numFmtId="2" fontId="3" fillId="0" borderId="93" xfId="1" applyNumberFormat="1" applyFont="1" applyFill="1" applyBorder="1" applyAlignment="1">
      <alignment horizontal="center" vertical="center"/>
    </xf>
    <xf numFmtId="2" fontId="3" fillId="0" borderId="123" xfId="1" applyNumberFormat="1" applyFont="1" applyBorder="1" applyAlignment="1">
      <alignment horizontal="center" vertical="center"/>
    </xf>
    <xf numFmtId="2" fontId="3" fillId="0" borderId="124" xfId="1" applyNumberFormat="1" applyFont="1" applyBorder="1" applyAlignment="1">
      <alignment horizontal="center" vertical="center"/>
    </xf>
    <xf numFmtId="2" fontId="3" fillId="0" borderId="125" xfId="1" applyNumberFormat="1" applyFont="1" applyBorder="1" applyAlignment="1">
      <alignment horizontal="center" vertical="center"/>
    </xf>
    <xf numFmtId="2" fontId="3" fillId="0" borderId="126" xfId="1" applyNumberFormat="1" applyFont="1" applyBorder="1" applyAlignment="1">
      <alignment horizontal="center" vertical="center"/>
    </xf>
    <xf numFmtId="2" fontId="3" fillId="0" borderId="127" xfId="1" applyNumberFormat="1" applyFont="1" applyBorder="1" applyAlignment="1">
      <alignment horizontal="center" vertical="center"/>
    </xf>
    <xf numFmtId="2" fontId="3" fillId="0" borderId="128" xfId="1" applyNumberFormat="1" applyFont="1" applyBorder="1" applyAlignment="1">
      <alignment horizontal="center" vertical="center"/>
    </xf>
    <xf numFmtId="2" fontId="3" fillId="0" borderId="27" xfId="1" applyNumberFormat="1" applyFont="1" applyFill="1" applyBorder="1" applyAlignment="1">
      <alignment horizontal="center" vertical="center"/>
    </xf>
    <xf numFmtId="2" fontId="3" fillId="0" borderId="42" xfId="1" applyNumberFormat="1" applyFont="1" applyFill="1" applyBorder="1" applyAlignment="1">
      <alignment horizontal="center" vertical="center"/>
    </xf>
    <xf numFmtId="2" fontId="3" fillId="0" borderId="59" xfId="1" applyNumberFormat="1" applyFont="1" applyFill="1" applyBorder="1" applyAlignment="1">
      <alignment horizontal="center" vertical="center"/>
    </xf>
    <xf numFmtId="2" fontId="3" fillId="16" borderId="85" xfId="1" applyNumberFormat="1" applyFont="1" applyFill="1" applyBorder="1" applyAlignment="1">
      <alignment horizontal="center" vertical="center"/>
    </xf>
    <xf numFmtId="2" fontId="3" fillId="0" borderId="129" xfId="1" applyNumberFormat="1" applyFont="1" applyBorder="1" applyAlignment="1">
      <alignment horizontal="center" vertical="center"/>
    </xf>
    <xf numFmtId="0" fontId="7" fillId="0" borderId="130" xfId="1" applyFont="1" applyBorder="1" applyAlignment="1">
      <alignment horizontal="left" vertical="center" wrapText="1"/>
    </xf>
    <xf numFmtId="2" fontId="3" fillId="0" borderId="131" xfId="1" applyNumberFormat="1" applyFont="1" applyBorder="1" applyAlignment="1">
      <alignment horizontal="center" vertical="center"/>
    </xf>
    <xf numFmtId="2" fontId="3" fillId="0" borderId="34" xfId="1" applyNumberFormat="1" applyFont="1" applyBorder="1" applyAlignment="1">
      <alignment horizontal="center" vertical="center"/>
    </xf>
    <xf numFmtId="2" fontId="3" fillId="0" borderId="35" xfId="1" applyNumberFormat="1" applyFont="1" applyBorder="1" applyAlignment="1">
      <alignment horizontal="center" vertical="center"/>
    </xf>
    <xf numFmtId="0" fontId="12" fillId="13" borderId="0" xfId="1" applyFont="1" applyFill="1" applyBorder="1" applyAlignment="1">
      <alignment horizontal="center" vertical="center"/>
    </xf>
    <xf numFmtId="0" fontId="12" fillId="13" borderId="0" xfId="1" applyFont="1" applyFill="1" applyBorder="1" applyAlignment="1">
      <alignment vertical="center"/>
    </xf>
    <xf numFmtId="0" fontId="3" fillId="0" borderId="132" xfId="1" applyFont="1" applyBorder="1" applyAlignment="1">
      <alignment horizontal="center" vertical="center" wrapText="1"/>
    </xf>
    <xf numFmtId="0" fontId="3" fillId="13" borderId="47" xfId="1" applyFont="1" applyFill="1" applyBorder="1" applyAlignment="1">
      <alignment vertical="center"/>
    </xf>
    <xf numFmtId="0" fontId="3" fillId="0" borderId="99" xfId="1" applyFont="1" applyFill="1" applyBorder="1" applyAlignment="1">
      <alignment horizontal="center" vertical="center"/>
    </xf>
    <xf numFmtId="165" fontId="3" fillId="0" borderId="27" xfId="1" applyNumberFormat="1" applyFont="1" applyFill="1" applyBorder="1" applyAlignment="1">
      <alignment horizontal="center" vertical="center"/>
    </xf>
    <xf numFmtId="165" fontId="3" fillId="0" borderId="28" xfId="1" applyNumberFormat="1" applyFont="1" applyFill="1" applyBorder="1" applyAlignment="1">
      <alignment horizontal="center" vertical="center"/>
    </xf>
    <xf numFmtId="165" fontId="3" fillId="0" borderId="84" xfId="1" applyNumberFormat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2" fillId="17" borderId="1" xfId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vertical="center"/>
    </xf>
    <xf numFmtId="0" fontId="19" fillId="17" borderId="10" xfId="1" applyFont="1" applyFill="1" applyBorder="1" applyAlignment="1">
      <alignment horizontal="center" vertical="center"/>
    </xf>
    <xf numFmtId="0" fontId="19" fillId="17" borderId="101" xfId="1" applyFont="1" applyFill="1" applyBorder="1" applyAlignment="1">
      <alignment horizontal="center" vertical="center"/>
    </xf>
    <xf numFmtId="0" fontId="19" fillId="17" borderId="102" xfId="1" applyFont="1" applyFill="1" applyBorder="1" applyAlignment="1">
      <alignment horizontal="center" vertical="center"/>
    </xf>
    <xf numFmtId="0" fontId="18" fillId="0" borderId="133" xfId="1" applyFont="1" applyBorder="1" applyAlignment="1">
      <alignment horizontal="left" vertical="center" wrapText="1"/>
    </xf>
    <xf numFmtId="0" fontId="7" fillId="0" borderId="134" xfId="1" applyFont="1" applyBorder="1" applyAlignment="1">
      <alignment horizontal="center" vertical="center" wrapText="1"/>
    </xf>
    <xf numFmtId="0" fontId="7" fillId="0" borderId="135" xfId="1" applyFont="1" applyBorder="1" applyAlignment="1">
      <alignment horizontal="center" vertical="center" wrapText="1"/>
    </xf>
    <xf numFmtId="0" fontId="7" fillId="0" borderId="136" xfId="1" applyFont="1" applyBorder="1" applyAlignment="1">
      <alignment horizontal="center" vertical="center" wrapText="1"/>
    </xf>
    <xf numFmtId="0" fontId="7" fillId="0" borderId="137" xfId="1" applyFont="1" applyBorder="1" applyAlignment="1">
      <alignment horizontal="center" vertical="center" wrapText="1"/>
    </xf>
    <xf numFmtId="0" fontId="7" fillId="0" borderId="136" xfId="1" applyFont="1" applyBorder="1" applyAlignment="1">
      <alignment horizontal="center" vertical="center" wrapText="1"/>
    </xf>
    <xf numFmtId="0" fontId="3" fillId="0" borderId="135" xfId="1" applyFont="1" applyBorder="1" applyAlignment="1">
      <alignment horizontal="center" vertical="center" wrapText="1"/>
    </xf>
    <xf numFmtId="0" fontId="7" fillId="0" borderId="138" xfId="1" applyFont="1" applyBorder="1" applyAlignment="1">
      <alignment horizontal="center" vertical="center" wrapText="1"/>
    </xf>
    <xf numFmtId="0" fontId="3" fillId="0" borderId="138" xfId="1" applyFont="1" applyBorder="1" applyAlignment="1">
      <alignment horizontal="center" vertical="center" wrapText="1"/>
    </xf>
    <xf numFmtId="0" fontId="3" fillId="0" borderId="139" xfId="1" applyFont="1" applyBorder="1"/>
    <xf numFmtId="0" fontId="7" fillId="18" borderId="140" xfId="1" applyFont="1" applyFill="1" applyBorder="1" applyAlignment="1">
      <alignment horizontal="center" vertical="center"/>
    </xf>
    <xf numFmtId="0" fontId="7" fillId="18" borderId="14" xfId="1" applyFont="1" applyFill="1" applyBorder="1" applyAlignment="1">
      <alignment horizontal="center" vertical="center"/>
    </xf>
    <xf numFmtId="0" fontId="7" fillId="19" borderId="16" xfId="1" applyFont="1" applyFill="1" applyBorder="1" applyAlignment="1">
      <alignment horizontal="center" vertical="center" wrapText="1"/>
    </xf>
    <xf numFmtId="0" fontId="7" fillId="20" borderId="47" xfId="1" applyFont="1" applyFill="1" applyBorder="1" applyAlignment="1">
      <alignment horizontal="center" vertical="center" wrapText="1"/>
    </xf>
    <xf numFmtId="0" fontId="7" fillId="20" borderId="18" xfId="1" applyFont="1" applyFill="1" applyBorder="1" applyAlignment="1">
      <alignment horizontal="center" vertical="center" wrapText="1"/>
    </xf>
    <xf numFmtId="0" fontId="7" fillId="20" borderId="14" xfId="1" applyFont="1" applyFill="1" applyBorder="1" applyAlignment="1">
      <alignment horizontal="center" vertical="center" wrapText="1"/>
    </xf>
    <xf numFmtId="0" fontId="7" fillId="20" borderId="16" xfId="1" applyFont="1" applyFill="1" applyBorder="1" applyAlignment="1">
      <alignment horizontal="center" vertical="center" wrapText="1"/>
    </xf>
    <xf numFmtId="0" fontId="7" fillId="21" borderId="16" xfId="1" applyFont="1" applyFill="1" applyBorder="1" applyAlignment="1">
      <alignment horizontal="center" vertical="center" wrapText="1"/>
    </xf>
    <xf numFmtId="0" fontId="7" fillId="22" borderId="52" xfId="1" applyFont="1" applyFill="1" applyBorder="1" applyAlignment="1">
      <alignment horizontal="center" vertical="center" wrapText="1"/>
    </xf>
    <xf numFmtId="0" fontId="7" fillId="22" borderId="141" xfId="1" applyFont="1" applyFill="1" applyBorder="1" applyAlignment="1">
      <alignment horizontal="center" vertical="center" wrapText="1"/>
    </xf>
    <xf numFmtId="0" fontId="7" fillId="22" borderId="16" xfId="1" applyFont="1" applyFill="1" applyBorder="1" applyAlignment="1">
      <alignment horizontal="center" vertical="center" wrapText="1"/>
    </xf>
    <xf numFmtId="0" fontId="3" fillId="23" borderId="142" xfId="1" applyFont="1" applyFill="1" applyBorder="1" applyAlignment="1">
      <alignment horizontal="center" vertical="center" wrapText="1"/>
    </xf>
    <xf numFmtId="0" fontId="3" fillId="23" borderId="143" xfId="1" applyFont="1" applyFill="1" applyBorder="1" applyAlignment="1">
      <alignment horizontal="center" vertical="center" wrapText="1"/>
    </xf>
    <xf numFmtId="0" fontId="7" fillId="23" borderId="1" xfId="1" applyFont="1" applyFill="1" applyBorder="1" applyAlignment="1">
      <alignment horizontal="center" vertical="center" wrapText="1"/>
    </xf>
    <xf numFmtId="0" fontId="7" fillId="23" borderId="141" xfId="1" applyFont="1" applyFill="1" applyBorder="1" applyAlignment="1">
      <alignment horizontal="center" vertical="center" wrapText="1"/>
    </xf>
    <xf numFmtId="0" fontId="7" fillId="23" borderId="107" xfId="1" applyFont="1" applyFill="1" applyBorder="1" applyAlignment="1">
      <alignment horizontal="center" vertical="center" wrapText="1"/>
    </xf>
    <xf numFmtId="0" fontId="7" fillId="24" borderId="1" xfId="1" applyFont="1" applyFill="1" applyBorder="1" applyAlignment="1">
      <alignment horizontal="center" vertical="center" wrapText="1"/>
    </xf>
    <xf numFmtId="0" fontId="3" fillId="24" borderId="1" xfId="1" applyFont="1" applyFill="1" applyBorder="1" applyAlignment="1">
      <alignment horizontal="center" vertical="center" wrapText="1"/>
    </xf>
    <xf numFmtId="0" fontId="7" fillId="0" borderId="144" xfId="1" applyFont="1" applyBorder="1" applyAlignment="1">
      <alignment horizontal="left" vertical="center" wrapText="1"/>
    </xf>
    <xf numFmtId="2" fontId="10" fillId="0" borderId="145" xfId="1" applyNumberFormat="1" applyFont="1" applyFill="1" applyBorder="1" applyAlignment="1">
      <alignment horizontal="center" vertical="center"/>
    </xf>
    <xf numFmtId="2" fontId="3" fillId="0" borderId="146" xfId="1" applyNumberFormat="1" applyFont="1" applyFill="1" applyBorder="1" applyAlignment="1">
      <alignment horizontal="center" vertical="center"/>
    </xf>
    <xf numFmtId="2" fontId="3" fillId="0" borderId="147" xfId="1" applyNumberFormat="1" applyFont="1" applyFill="1" applyBorder="1" applyAlignment="1">
      <alignment horizontal="center" vertical="center"/>
    </xf>
    <xf numFmtId="0" fontId="7" fillId="0" borderId="148" xfId="1" applyFont="1" applyBorder="1" applyAlignment="1">
      <alignment horizontal="left" vertical="center" wrapText="1"/>
    </xf>
    <xf numFmtId="2" fontId="3" fillId="0" borderId="58" xfId="1" applyNumberFormat="1" applyFont="1" applyFill="1" applyBorder="1" applyAlignment="1">
      <alignment horizontal="center" vertical="center"/>
    </xf>
    <xf numFmtId="0" fontId="3" fillId="25" borderId="0" xfId="1" applyFont="1" applyFill="1" applyAlignment="1">
      <alignment vertical="center"/>
    </xf>
    <xf numFmtId="2" fontId="10" fillId="0" borderId="146" xfId="1" applyNumberFormat="1" applyFont="1" applyFill="1" applyBorder="1" applyAlignment="1">
      <alignment horizontal="center" vertical="center"/>
    </xf>
    <xf numFmtId="2" fontId="3" fillId="25" borderId="0" xfId="1" applyNumberFormat="1" applyFont="1" applyFill="1" applyBorder="1" applyAlignment="1">
      <alignment horizontal="center" vertical="center"/>
    </xf>
    <xf numFmtId="2" fontId="3" fillId="25" borderId="18" xfId="1" applyNumberFormat="1" applyFont="1" applyFill="1" applyBorder="1" applyAlignment="1">
      <alignment horizontal="center" vertical="center"/>
    </xf>
    <xf numFmtId="165" fontId="3" fillId="26" borderId="147" xfId="1" applyNumberFormat="1" applyFont="1" applyFill="1" applyBorder="1" applyAlignment="1">
      <alignment vertical="center"/>
    </xf>
    <xf numFmtId="2" fontId="3" fillId="26" borderId="147" xfId="1" applyNumberFormat="1" applyFont="1" applyFill="1" applyBorder="1" applyAlignment="1">
      <alignment horizontal="center" vertical="center"/>
    </xf>
    <xf numFmtId="0" fontId="3" fillId="26" borderId="0" xfId="1" applyFont="1" applyFill="1" applyAlignment="1">
      <alignment vertical="center"/>
    </xf>
    <xf numFmtId="0" fontId="7" fillId="0" borderId="149" xfId="1" applyFont="1" applyBorder="1" applyAlignment="1">
      <alignment horizontal="left" vertical="center" wrapText="1"/>
    </xf>
    <xf numFmtId="2" fontId="3" fillId="0" borderId="47" xfId="1" applyNumberFormat="1" applyFont="1" applyFill="1" applyBorder="1" applyAlignment="1">
      <alignment horizontal="center" vertical="center"/>
    </xf>
    <xf numFmtId="165" fontId="3" fillId="26" borderId="0" xfId="1" applyNumberFormat="1" applyFont="1" applyFill="1" applyBorder="1" applyAlignment="1">
      <alignment vertical="center"/>
    </xf>
    <xf numFmtId="2" fontId="3" fillId="26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0" fontId="7" fillId="0" borderId="150" xfId="1" applyFont="1" applyBorder="1" applyAlignment="1">
      <alignment horizontal="left" vertical="center" wrapText="1"/>
    </xf>
    <xf numFmtId="2" fontId="3" fillId="0" borderId="53" xfId="1" applyNumberFormat="1" applyFont="1" applyFill="1" applyBorder="1" applyAlignment="1">
      <alignment horizontal="center" vertical="center"/>
    </xf>
    <xf numFmtId="2" fontId="3" fillId="0" borderId="52" xfId="1" applyNumberFormat="1" applyFont="1" applyFill="1" applyBorder="1" applyAlignment="1">
      <alignment horizontal="center" vertical="center"/>
    </xf>
    <xf numFmtId="165" fontId="3" fillId="26" borderId="2" xfId="1" applyNumberFormat="1" applyFont="1" applyFill="1" applyBorder="1" applyAlignment="1">
      <alignment vertical="center"/>
    </xf>
    <xf numFmtId="2" fontId="3" fillId="26" borderId="2" xfId="1" applyNumberFormat="1" applyFont="1" applyFill="1" applyBorder="1" applyAlignment="1">
      <alignment horizontal="center" vertical="center"/>
    </xf>
    <xf numFmtId="2" fontId="3" fillId="0" borderId="151" xfId="1" applyNumberFormat="1" applyFont="1" applyFill="1" applyBorder="1" applyAlignment="1">
      <alignment horizontal="center" vertical="center"/>
    </xf>
    <xf numFmtId="2" fontId="3" fillId="0" borderId="152" xfId="1" applyNumberFormat="1" applyFont="1" applyFill="1" applyBorder="1" applyAlignment="1">
      <alignment horizontal="center" vertical="center"/>
    </xf>
    <xf numFmtId="2" fontId="3" fillId="0" borderId="153" xfId="1" applyNumberFormat="1" applyFont="1" applyFill="1" applyBorder="1" applyAlignment="1">
      <alignment horizontal="center" vertical="center"/>
    </xf>
    <xf numFmtId="2" fontId="3" fillId="0" borderId="154" xfId="1" applyNumberFormat="1" applyFont="1" applyFill="1" applyBorder="1" applyAlignment="1">
      <alignment horizontal="center" vertical="center"/>
    </xf>
    <xf numFmtId="2" fontId="3" fillId="0" borderId="155" xfId="1" applyNumberFormat="1" applyFont="1" applyFill="1" applyBorder="1" applyAlignment="1">
      <alignment horizontal="center" vertical="center"/>
    </xf>
    <xf numFmtId="2" fontId="3" fillId="0" borderId="156" xfId="1" applyNumberFormat="1" applyFont="1" applyFill="1" applyBorder="1" applyAlignment="1">
      <alignment horizontal="center" vertical="center"/>
    </xf>
    <xf numFmtId="2" fontId="3" fillId="0" borderId="157" xfId="1" applyNumberFormat="1" applyFont="1" applyBorder="1" applyAlignment="1">
      <alignment horizontal="center" vertical="center"/>
    </xf>
    <xf numFmtId="2" fontId="3" fillId="0" borderId="158" xfId="1" applyNumberFormat="1" applyFont="1" applyFill="1" applyBorder="1" applyAlignment="1">
      <alignment horizontal="center" vertical="center"/>
    </xf>
    <xf numFmtId="2" fontId="3" fillId="0" borderId="159" xfId="1" applyNumberFormat="1" applyFont="1" applyFill="1" applyBorder="1" applyAlignment="1">
      <alignment horizontal="center" vertical="center"/>
    </xf>
    <xf numFmtId="2" fontId="3" fillId="0" borderId="160" xfId="1" applyNumberFormat="1" applyFont="1" applyFill="1" applyBorder="1" applyAlignment="1">
      <alignment horizontal="center" vertical="center"/>
    </xf>
    <xf numFmtId="2" fontId="3" fillId="0" borderId="161" xfId="1" applyNumberFormat="1" applyFont="1" applyFill="1" applyBorder="1" applyAlignment="1">
      <alignment horizontal="center" vertical="center"/>
    </xf>
    <xf numFmtId="2" fontId="3" fillId="25" borderId="146" xfId="1" applyNumberFormat="1" applyFont="1" applyFill="1" applyBorder="1" applyAlignment="1">
      <alignment horizontal="center" vertical="center"/>
    </xf>
    <xf numFmtId="2" fontId="3" fillId="25" borderId="162" xfId="1" applyNumberFormat="1" applyFont="1" applyFill="1" applyBorder="1" applyAlignment="1">
      <alignment horizontal="center" vertical="center"/>
    </xf>
    <xf numFmtId="2" fontId="3" fillId="25" borderId="56" xfId="1" applyNumberFormat="1" applyFont="1" applyFill="1" applyBorder="1" applyAlignment="1">
      <alignment horizontal="center" vertical="center"/>
    </xf>
    <xf numFmtId="2" fontId="3" fillId="25" borderId="57" xfId="1" applyNumberFormat="1" applyFont="1" applyFill="1" applyBorder="1" applyAlignment="1">
      <alignment horizontal="center" vertical="center"/>
    </xf>
    <xf numFmtId="2" fontId="3" fillId="0" borderId="95" xfId="1" applyNumberFormat="1" applyFont="1" applyFill="1" applyBorder="1" applyAlignment="1">
      <alignment horizontal="center" vertical="center"/>
    </xf>
    <xf numFmtId="2" fontId="3" fillId="26" borderId="20" xfId="1" applyNumberFormat="1" applyFont="1" applyFill="1" applyBorder="1" applyAlignment="1">
      <alignment horizontal="center" vertical="center"/>
    </xf>
    <xf numFmtId="2" fontId="3" fillId="26" borderId="21" xfId="1" applyNumberFormat="1" applyFont="1" applyFill="1" applyBorder="1" applyAlignment="1">
      <alignment horizontal="center" vertical="center"/>
    </xf>
    <xf numFmtId="2" fontId="3" fillId="26" borderId="71" xfId="1" applyNumberFormat="1" applyFont="1" applyFill="1" applyBorder="1" applyAlignment="1">
      <alignment horizontal="center" vertical="center"/>
    </xf>
    <xf numFmtId="2" fontId="3" fillId="26" borderId="19" xfId="1" applyNumberFormat="1" applyFont="1" applyFill="1" applyBorder="1" applyAlignment="1">
      <alignment horizontal="center" vertical="center"/>
    </xf>
    <xf numFmtId="2" fontId="3" fillId="26" borderId="40" xfId="1" applyNumberFormat="1" applyFont="1" applyFill="1" applyBorder="1" applyAlignment="1">
      <alignment horizontal="center" vertical="center"/>
    </xf>
    <xf numFmtId="2" fontId="3" fillId="25" borderId="46" xfId="1" applyNumberFormat="1" applyFont="1" applyFill="1" applyBorder="1" applyAlignment="1">
      <alignment horizontal="center" vertical="center"/>
    </xf>
    <xf numFmtId="2" fontId="3" fillId="25" borderId="64" xfId="1" applyNumberFormat="1" applyFont="1" applyFill="1" applyBorder="1" applyAlignment="1">
      <alignment horizontal="center" vertical="center"/>
    </xf>
    <xf numFmtId="2" fontId="3" fillId="25" borderId="45" xfId="1" applyNumberFormat="1" applyFont="1" applyFill="1" applyBorder="1" applyAlignment="1">
      <alignment horizontal="center" vertical="center"/>
    </xf>
    <xf numFmtId="2" fontId="3" fillId="25" borderId="61" xfId="1" applyNumberFormat="1" applyFont="1" applyFill="1" applyBorder="1" applyAlignment="1">
      <alignment horizontal="center" vertical="center"/>
    </xf>
    <xf numFmtId="2" fontId="3" fillId="26" borderId="45" xfId="1" applyNumberFormat="1" applyFont="1" applyFill="1" applyBorder="1" applyAlignment="1">
      <alignment horizontal="center" vertical="center"/>
    </xf>
    <xf numFmtId="2" fontId="3" fillId="26" borderId="46" xfId="1" applyNumberFormat="1" applyFont="1" applyFill="1" applyBorder="1" applyAlignment="1">
      <alignment horizontal="center" vertical="center"/>
    </xf>
    <xf numFmtId="2" fontId="3" fillId="26" borderId="44" xfId="1" applyNumberFormat="1" applyFont="1" applyFill="1" applyBorder="1" applyAlignment="1">
      <alignment horizontal="center" vertical="center"/>
    </xf>
    <xf numFmtId="2" fontId="3" fillId="25" borderId="32" xfId="1" applyNumberFormat="1" applyFont="1" applyFill="1" applyBorder="1" applyAlignment="1">
      <alignment horizontal="center" vertical="center"/>
    </xf>
    <xf numFmtId="2" fontId="3" fillId="25" borderId="50" xfId="1" applyNumberFormat="1" applyFont="1" applyFill="1" applyBorder="1" applyAlignment="1">
      <alignment horizontal="center" vertical="center"/>
    </xf>
    <xf numFmtId="2" fontId="3" fillId="25" borderId="31" xfId="1" applyNumberFormat="1" applyFont="1" applyFill="1" applyBorder="1" applyAlignment="1">
      <alignment horizontal="center" vertical="center"/>
    </xf>
    <xf numFmtId="2" fontId="3" fillId="26" borderId="50" xfId="1" applyNumberFormat="1" applyFont="1" applyFill="1" applyBorder="1" applyAlignment="1">
      <alignment horizontal="center" vertical="center"/>
    </xf>
    <xf numFmtId="2" fontId="3" fillId="26" borderId="67" xfId="1" applyNumberFormat="1" applyFont="1" applyFill="1" applyBorder="1" applyAlignment="1">
      <alignment horizontal="center" vertical="center"/>
    </xf>
    <xf numFmtId="2" fontId="3" fillId="26" borderId="64" xfId="1" applyNumberFormat="1" applyFont="1" applyFill="1" applyBorder="1" applyAlignment="1">
      <alignment horizontal="center" vertical="center"/>
    </xf>
    <xf numFmtId="2" fontId="3" fillId="0" borderId="163" xfId="1" applyNumberFormat="1" applyFont="1" applyFill="1" applyBorder="1" applyAlignment="1">
      <alignment horizontal="center" vertical="center"/>
    </xf>
    <xf numFmtId="0" fontId="7" fillId="0" borderId="164" xfId="1" applyFont="1" applyBorder="1" applyAlignment="1">
      <alignment horizontal="left" vertical="center" wrapText="1"/>
    </xf>
    <xf numFmtId="2" fontId="3" fillId="0" borderId="163" xfId="1" applyNumberFormat="1" applyFont="1" applyBorder="1" applyAlignment="1">
      <alignment horizontal="center" vertical="center"/>
    </xf>
    <xf numFmtId="2" fontId="3" fillId="26" borderId="163" xfId="1" applyNumberFormat="1" applyFont="1" applyFill="1" applyBorder="1" applyAlignment="1">
      <alignment horizontal="center" vertical="center"/>
    </xf>
    <xf numFmtId="2" fontId="3" fillId="26" borderId="61" xfId="1" applyNumberFormat="1" applyFont="1" applyFill="1" applyBorder="1" applyAlignment="1">
      <alignment horizontal="center" vertical="center"/>
    </xf>
    <xf numFmtId="2" fontId="3" fillId="26" borderId="74" xfId="1" applyNumberFormat="1" applyFont="1" applyFill="1" applyBorder="1" applyAlignment="1">
      <alignment horizontal="center" vertical="center"/>
    </xf>
    <xf numFmtId="2" fontId="4" fillId="0" borderId="45" xfId="1" applyNumberFormat="1" applyFont="1" applyBorder="1" applyAlignment="1">
      <alignment horizontal="center" vertical="center"/>
    </xf>
    <xf numFmtId="2" fontId="3" fillId="25" borderId="74" xfId="1" applyNumberFormat="1" applyFont="1" applyFill="1" applyBorder="1" applyAlignment="1">
      <alignment horizontal="center" vertical="center"/>
    </xf>
    <xf numFmtId="2" fontId="3" fillId="16" borderId="78" xfId="1" applyNumberFormat="1" applyFont="1" applyFill="1" applyBorder="1" applyAlignment="1">
      <alignment horizontal="center" vertical="center"/>
    </xf>
    <xf numFmtId="2" fontId="3" fillId="0" borderId="95" xfId="1" applyNumberFormat="1" applyFont="1" applyFill="1" applyBorder="1" applyAlignment="1">
      <alignment horizontal="center" vertical="center"/>
    </xf>
    <xf numFmtId="2" fontId="3" fillId="0" borderId="165" xfId="1" applyNumberFormat="1" applyFont="1" applyFill="1" applyBorder="1" applyAlignment="1">
      <alignment horizontal="center" vertical="center"/>
    </xf>
    <xf numFmtId="2" fontId="3" fillId="25" borderId="84" xfId="1" applyNumberFormat="1" applyFont="1" applyFill="1" applyBorder="1" applyAlignment="1">
      <alignment horizontal="center" vertical="center"/>
    </xf>
    <xf numFmtId="2" fontId="3" fillId="0" borderId="166" xfId="1" applyNumberFormat="1" applyFont="1" applyFill="1" applyBorder="1" applyAlignment="1">
      <alignment horizontal="center" vertical="center"/>
    </xf>
    <xf numFmtId="2" fontId="3" fillId="27" borderId="42" xfId="1" applyNumberFormat="1" applyFont="1" applyFill="1" applyBorder="1" applyAlignment="1">
      <alignment horizontal="center" vertical="center"/>
    </xf>
    <xf numFmtId="2" fontId="3" fillId="27" borderId="95" xfId="1" applyNumberFormat="1" applyFont="1" applyFill="1" applyBorder="1" applyAlignment="1">
      <alignment horizontal="center" vertical="center"/>
    </xf>
    <xf numFmtId="2" fontId="3" fillId="25" borderId="82" xfId="1" applyNumberFormat="1" applyFont="1" applyFill="1" applyBorder="1" applyAlignment="1">
      <alignment horizontal="center" vertical="center"/>
    </xf>
    <xf numFmtId="2" fontId="3" fillId="25" borderId="78" xfId="1" applyNumberFormat="1" applyFont="1" applyFill="1" applyBorder="1" applyAlignment="1">
      <alignment horizontal="center" vertical="center"/>
    </xf>
    <xf numFmtId="2" fontId="3" fillId="0" borderId="28" xfId="1" applyNumberFormat="1" applyFont="1" applyFill="1" applyBorder="1" applyAlignment="1">
      <alignment horizontal="center" vertical="center"/>
    </xf>
    <xf numFmtId="2" fontId="3" fillId="25" borderId="77" xfId="1" applyNumberFormat="1" applyFont="1" applyFill="1" applyBorder="1" applyAlignment="1">
      <alignment horizontal="center" vertical="center"/>
    </xf>
    <xf numFmtId="2" fontId="3" fillId="26" borderId="28" xfId="1" applyNumberFormat="1" applyFont="1" applyFill="1" applyBorder="1" applyAlignment="1">
      <alignment horizontal="center" vertical="center"/>
    </xf>
    <xf numFmtId="2" fontId="3" fillId="26" borderId="84" xfId="1" applyNumberFormat="1" applyFont="1" applyFill="1" applyBorder="1" applyAlignment="1">
      <alignment horizontal="center" vertical="center"/>
    </xf>
    <xf numFmtId="2" fontId="3" fillId="25" borderId="27" xfId="1" applyNumberFormat="1" applyFont="1" applyFill="1" applyBorder="1" applyAlignment="1">
      <alignment horizontal="center" vertical="center"/>
    </xf>
    <xf numFmtId="2" fontId="3" fillId="26" borderId="27" xfId="1" applyNumberFormat="1" applyFont="1" applyFill="1" applyBorder="1" applyAlignment="1">
      <alignment horizontal="center" vertical="center"/>
    </xf>
    <xf numFmtId="0" fontId="12" fillId="13" borderId="2" xfId="1" applyFont="1" applyFill="1" applyBorder="1" applyAlignment="1">
      <alignment horizontal="center" vertical="center" wrapText="1"/>
    </xf>
    <xf numFmtId="0" fontId="12" fillId="13" borderId="2" xfId="1" applyFont="1" applyFill="1" applyBorder="1" applyAlignment="1">
      <alignment horizontal="center" vertical="center" wrapText="1"/>
    </xf>
    <xf numFmtId="2" fontId="3" fillId="26" borderId="1" xfId="1" applyNumberFormat="1" applyFont="1" applyFill="1" applyBorder="1" applyAlignment="1">
      <alignment horizontal="center" vertical="center"/>
    </xf>
    <xf numFmtId="0" fontId="3" fillId="0" borderId="53" xfId="1" applyFont="1" applyFill="1" applyBorder="1" applyAlignment="1">
      <alignment horizontal="center" vertical="center"/>
    </xf>
    <xf numFmtId="2" fontId="3" fillId="26" borderId="96" xfId="1" applyNumberFormat="1" applyFont="1" applyFill="1" applyBorder="1" applyAlignment="1">
      <alignment horizontal="right" vertical="center"/>
    </xf>
    <xf numFmtId="2" fontId="3" fillId="26" borderId="97" xfId="1" applyNumberFormat="1" applyFont="1" applyFill="1" applyBorder="1" applyAlignment="1">
      <alignment horizontal="left" vertical="center"/>
    </xf>
    <xf numFmtId="0" fontId="3" fillId="26" borderId="53" xfId="1" applyFont="1" applyFill="1" applyBorder="1" applyAlignment="1">
      <alignment horizontal="center" vertical="center"/>
    </xf>
    <xf numFmtId="2" fontId="3" fillId="0" borderId="53" xfId="1" applyNumberFormat="1" applyFont="1" applyFill="1" applyBorder="1" applyAlignment="1">
      <alignment horizontal="right" vertical="center"/>
    </xf>
    <xf numFmtId="0" fontId="3" fillId="0" borderId="2" xfId="1" applyFont="1" applyFill="1" applyBorder="1" applyAlignment="1">
      <alignment horizontal="center" vertical="center"/>
    </xf>
    <xf numFmtId="2" fontId="3" fillId="0" borderId="141" xfId="1" applyNumberFormat="1" applyFont="1" applyFill="1" applyBorder="1" applyAlignment="1">
      <alignment horizontal="left" vertical="center"/>
    </xf>
    <xf numFmtId="165" fontId="3" fillId="26" borderId="27" xfId="1" applyNumberFormat="1" applyFont="1" applyFill="1" applyBorder="1" applyAlignment="1">
      <alignment horizontal="center" vertical="center"/>
    </xf>
    <xf numFmtId="165" fontId="3" fillId="26" borderId="28" xfId="1" applyNumberFormat="1" applyFont="1" applyFill="1" applyBorder="1" applyAlignment="1">
      <alignment horizontal="center" vertical="center"/>
    </xf>
    <xf numFmtId="165" fontId="3" fillId="26" borderId="84" xfId="1" applyNumberFormat="1" applyFont="1" applyFill="1" applyBorder="1" applyAlignment="1">
      <alignment horizontal="center" vertical="center"/>
    </xf>
    <xf numFmtId="2" fontId="3" fillId="26" borderId="53" xfId="1" applyNumberFormat="1" applyFont="1" applyFill="1" applyBorder="1" applyAlignment="1">
      <alignment horizontal="right" vertical="center"/>
    </xf>
    <xf numFmtId="2" fontId="3" fillId="26" borderId="141" xfId="1" applyNumberFormat="1" applyFont="1" applyFill="1" applyBorder="1" applyAlignment="1">
      <alignment horizontal="left" vertical="center"/>
    </xf>
    <xf numFmtId="0" fontId="3" fillId="26" borderId="10" xfId="1" applyFont="1" applyFill="1" applyBorder="1" applyAlignment="1">
      <alignment horizontal="center" vertical="center"/>
    </xf>
    <xf numFmtId="165" fontId="3" fillId="25" borderId="49" xfId="1" applyNumberFormat="1" applyFont="1" applyFill="1" applyBorder="1" applyAlignment="1">
      <alignment horizontal="center" vertical="center"/>
    </xf>
    <xf numFmtId="165" fontId="3" fillId="25" borderId="50" xfId="1" applyNumberFormat="1" applyFont="1" applyFill="1" applyBorder="1" applyAlignment="1">
      <alignment horizontal="center" vertical="center"/>
    </xf>
    <xf numFmtId="2" fontId="3" fillId="25" borderId="167" xfId="1" applyNumberFormat="1" applyFont="1" applyFill="1" applyBorder="1" applyAlignment="1">
      <alignment horizontal="center" vertical="center"/>
    </xf>
    <xf numFmtId="0" fontId="2" fillId="28" borderId="10" xfId="1" applyFont="1" applyFill="1" applyBorder="1" applyAlignment="1">
      <alignment horizontal="center" vertical="center"/>
    </xf>
    <xf numFmtId="0" fontId="2" fillId="28" borderId="101" xfId="1" applyFont="1" applyFill="1" applyBorder="1" applyAlignment="1">
      <alignment horizontal="center" vertical="center"/>
    </xf>
    <xf numFmtId="0" fontId="2" fillId="28" borderId="102" xfId="1" applyFont="1" applyFill="1" applyBorder="1" applyAlignment="1">
      <alignment horizontal="center" vertical="center"/>
    </xf>
    <xf numFmtId="0" fontId="19" fillId="0" borderId="18" xfId="1" applyFont="1" applyFill="1" applyBorder="1" applyAlignment="1">
      <alignment vertical="center"/>
    </xf>
    <xf numFmtId="0" fontId="19" fillId="29" borderId="101" xfId="1" applyFont="1" applyFill="1" applyBorder="1" applyAlignment="1">
      <alignment horizontal="center" vertical="center"/>
    </xf>
    <xf numFmtId="0" fontId="19" fillId="29" borderId="102" xfId="1" applyFont="1" applyFill="1" applyBorder="1" applyAlignment="1">
      <alignment horizontal="center" vertical="center"/>
    </xf>
    <xf numFmtId="0" fontId="18" fillId="0" borderId="168" xfId="1" applyFont="1" applyBorder="1" applyAlignment="1">
      <alignment horizontal="left" vertical="center" wrapText="1"/>
    </xf>
    <xf numFmtId="0" fontId="7" fillId="0" borderId="169" xfId="1" applyFont="1" applyBorder="1" applyAlignment="1">
      <alignment horizontal="center" vertical="center" wrapText="1"/>
    </xf>
    <xf numFmtId="0" fontId="3" fillId="0" borderId="104" xfId="1" applyFont="1" applyBorder="1" applyAlignment="1">
      <alignment horizontal="center" vertical="center" wrapText="1"/>
    </xf>
    <xf numFmtId="0" fontId="3" fillId="0" borderId="170" xfId="1" applyFont="1" applyBorder="1"/>
    <xf numFmtId="0" fontId="7" fillId="30" borderId="171" xfId="1" applyFont="1" applyFill="1" applyBorder="1" applyAlignment="1">
      <alignment horizontal="center" vertical="center" wrapText="1"/>
    </xf>
    <xf numFmtId="0" fontId="7" fillId="20" borderId="10" xfId="1" applyFont="1" applyFill="1" applyBorder="1" applyAlignment="1">
      <alignment horizontal="center" vertical="center" wrapText="1"/>
    </xf>
    <xf numFmtId="0" fontId="7" fillId="20" borderId="102" xfId="1" applyFont="1" applyFill="1" applyBorder="1" applyAlignment="1">
      <alignment horizontal="center" vertical="center" wrapText="1"/>
    </xf>
    <xf numFmtId="0" fontId="7" fillId="20" borderId="171" xfId="1" applyFont="1" applyFill="1" applyBorder="1" applyAlignment="1">
      <alignment horizontal="center" vertical="center" wrapText="1"/>
    </xf>
    <xf numFmtId="0" fontId="7" fillId="19" borderId="171" xfId="1" applyFont="1" applyFill="1" applyBorder="1" applyAlignment="1">
      <alignment horizontal="center" vertical="center" wrapText="1"/>
    </xf>
    <xf numFmtId="0" fontId="7" fillId="31" borderId="171" xfId="1" applyFont="1" applyFill="1" applyBorder="1" applyAlignment="1">
      <alignment horizontal="center" vertical="center" wrapText="1"/>
    </xf>
    <xf numFmtId="0" fontId="7" fillId="22" borderId="10" xfId="1" applyFont="1" applyFill="1" applyBorder="1" applyAlignment="1">
      <alignment horizontal="center" vertical="center" wrapText="1"/>
    </xf>
    <xf numFmtId="0" fontId="7" fillId="22" borderId="102" xfId="1" applyFont="1" applyFill="1" applyBorder="1" applyAlignment="1">
      <alignment horizontal="center" vertical="center" wrapText="1"/>
    </xf>
    <xf numFmtId="0" fontId="7" fillId="22" borderId="171" xfId="1" applyFont="1" applyFill="1" applyBorder="1" applyAlignment="1">
      <alignment horizontal="center" vertical="center" wrapText="1"/>
    </xf>
    <xf numFmtId="0" fontId="7" fillId="21" borderId="171" xfId="1" applyFont="1" applyFill="1" applyBorder="1" applyAlignment="1">
      <alignment horizontal="center" vertical="center" wrapText="1"/>
    </xf>
    <xf numFmtId="0" fontId="7" fillId="32" borderId="171" xfId="1" applyFont="1" applyFill="1" applyBorder="1" applyAlignment="1">
      <alignment horizontal="center" vertical="center" wrapText="1"/>
    </xf>
    <xf numFmtId="0" fontId="3" fillId="33" borderId="172" xfId="1" applyFont="1" applyFill="1" applyBorder="1" applyAlignment="1">
      <alignment horizontal="center" vertical="center" wrapText="1"/>
    </xf>
    <xf numFmtId="0" fontId="3" fillId="33" borderId="143" xfId="1" applyFont="1" applyFill="1" applyBorder="1" applyAlignment="1">
      <alignment horizontal="center" vertical="center" wrapText="1"/>
    </xf>
    <xf numFmtId="0" fontId="7" fillId="23" borderId="173" xfId="1" applyFont="1" applyFill="1" applyBorder="1" applyAlignment="1">
      <alignment horizontal="center" vertical="center" wrapText="1"/>
    </xf>
    <xf numFmtId="0" fontId="7" fillId="23" borderId="174" xfId="1" applyFont="1" applyFill="1" applyBorder="1" applyAlignment="1">
      <alignment horizontal="center" vertical="center" wrapText="1"/>
    </xf>
    <xf numFmtId="0" fontId="3" fillId="0" borderId="26" xfId="1" applyFont="1" applyBorder="1" applyAlignment="1">
      <alignment vertical="center"/>
    </xf>
    <xf numFmtId="2" fontId="3" fillId="26" borderId="18" xfId="1" applyNumberFormat="1" applyFont="1" applyFill="1" applyBorder="1" applyAlignment="1">
      <alignment horizontal="center" vertical="center"/>
    </xf>
    <xf numFmtId="165" fontId="3" fillId="25" borderId="26" xfId="1" applyNumberFormat="1" applyFont="1" applyFill="1" applyBorder="1" applyAlignment="1">
      <alignment vertical="center"/>
    </xf>
    <xf numFmtId="2" fontId="3" fillId="26" borderId="26" xfId="1" applyNumberFormat="1" applyFont="1" applyFill="1" applyBorder="1" applyAlignment="1">
      <alignment horizontal="center" vertical="center"/>
    </xf>
    <xf numFmtId="165" fontId="3" fillId="25" borderId="0" xfId="1" applyNumberFormat="1" applyFont="1" applyFill="1" applyBorder="1" applyAlignment="1">
      <alignment vertical="center"/>
    </xf>
    <xf numFmtId="2" fontId="3" fillId="0" borderId="175" xfId="1" applyNumberFormat="1" applyFont="1" applyFill="1" applyBorder="1" applyAlignment="1">
      <alignment horizontal="center" vertical="center"/>
    </xf>
    <xf numFmtId="0" fontId="3" fillId="0" borderId="176" xfId="1" applyFont="1" applyBorder="1" applyAlignment="1">
      <alignment vertical="center"/>
    </xf>
    <xf numFmtId="0" fontId="3" fillId="0" borderId="177" xfId="1" applyFont="1" applyBorder="1" applyAlignment="1">
      <alignment vertical="center"/>
    </xf>
    <xf numFmtId="165" fontId="3" fillId="25" borderId="52" xfId="1" applyNumberFormat="1" applyFont="1" applyFill="1" applyBorder="1" applyAlignment="1">
      <alignment vertical="center"/>
    </xf>
    <xf numFmtId="2" fontId="3" fillId="26" borderId="52" xfId="1" applyNumberFormat="1" applyFont="1" applyFill="1" applyBorder="1" applyAlignment="1">
      <alignment horizontal="center" vertical="center"/>
    </xf>
    <xf numFmtId="2" fontId="3" fillId="0" borderId="62" xfId="1" applyNumberFormat="1" applyFont="1" applyBorder="1" applyAlignment="1">
      <alignment horizontal="center" vertical="center"/>
    </xf>
    <xf numFmtId="2" fontId="3" fillId="0" borderId="178" xfId="1" applyNumberFormat="1" applyFont="1" applyFill="1" applyBorder="1" applyAlignment="1">
      <alignment horizontal="center" vertical="center"/>
    </xf>
    <xf numFmtId="2" fontId="3" fillId="0" borderId="179" xfId="1" applyNumberFormat="1" applyFont="1" applyFill="1" applyBorder="1" applyAlignment="1">
      <alignment horizontal="center" vertical="center"/>
    </xf>
    <xf numFmtId="2" fontId="3" fillId="26" borderId="56" xfId="1" applyNumberFormat="1" applyFont="1" applyFill="1" applyBorder="1" applyAlignment="1">
      <alignment horizontal="center" vertical="center"/>
    </xf>
    <xf numFmtId="2" fontId="3" fillId="26" borderId="57" xfId="1" applyNumberFormat="1" applyFont="1" applyFill="1" applyBorder="1" applyAlignment="1">
      <alignment horizontal="center" vertical="center"/>
    </xf>
    <xf numFmtId="2" fontId="3" fillId="25" borderId="22" xfId="1" applyNumberFormat="1" applyFont="1" applyFill="1" applyBorder="1" applyAlignment="1">
      <alignment horizontal="center" vertical="center"/>
    </xf>
    <xf numFmtId="2" fontId="3" fillId="25" borderId="21" xfId="1" applyNumberFormat="1" applyFont="1" applyFill="1" applyBorder="1" applyAlignment="1">
      <alignment horizontal="center" vertical="center"/>
    </xf>
    <xf numFmtId="2" fontId="3" fillId="26" borderId="31" xfId="1" applyNumberFormat="1" applyFont="1" applyFill="1" applyBorder="1" applyAlignment="1">
      <alignment horizontal="center" vertical="center"/>
    </xf>
    <xf numFmtId="2" fontId="3" fillId="25" borderId="67" xfId="1" applyNumberFormat="1" applyFont="1" applyFill="1" applyBorder="1" applyAlignment="1">
      <alignment horizontal="center" vertical="center"/>
    </xf>
    <xf numFmtId="2" fontId="3" fillId="26" borderId="32" xfId="1" applyNumberFormat="1" applyFont="1" applyFill="1" applyBorder="1" applyAlignment="1">
      <alignment horizontal="center" vertical="center"/>
    </xf>
    <xf numFmtId="2" fontId="3" fillId="0" borderId="154" xfId="1" applyNumberFormat="1" applyFont="1" applyFill="1" applyBorder="1" applyAlignment="1">
      <alignment horizontal="center" vertical="center"/>
    </xf>
    <xf numFmtId="2" fontId="3" fillId="0" borderId="155" xfId="1" applyNumberFormat="1" applyFont="1" applyFill="1" applyBorder="1" applyAlignment="1">
      <alignment horizontal="center" vertical="center"/>
    </xf>
    <xf numFmtId="2" fontId="3" fillId="0" borderId="180" xfId="1" applyNumberFormat="1" applyFont="1" applyBorder="1" applyAlignment="1">
      <alignment horizontal="center" vertical="center"/>
    </xf>
    <xf numFmtId="2" fontId="3" fillId="0" borderId="181" xfId="1" applyNumberFormat="1" applyFont="1" applyBorder="1" applyAlignment="1">
      <alignment horizontal="center" vertical="center"/>
    </xf>
    <xf numFmtId="2" fontId="3" fillId="26" borderId="182" xfId="1" applyNumberFormat="1" applyFont="1" applyFill="1" applyBorder="1" applyAlignment="1">
      <alignment horizontal="center" vertical="center"/>
    </xf>
    <xf numFmtId="2" fontId="3" fillId="0" borderId="180" xfId="1" applyNumberFormat="1" applyFont="1" applyFill="1" applyBorder="1" applyAlignment="1">
      <alignment horizontal="center" vertical="center"/>
    </xf>
    <xf numFmtId="2" fontId="3" fillId="0" borderId="183" xfId="1" applyNumberFormat="1" applyFont="1" applyFill="1" applyBorder="1" applyAlignment="1">
      <alignment horizontal="center" vertical="center"/>
    </xf>
    <xf numFmtId="2" fontId="3" fillId="27" borderId="184" xfId="1" applyNumberFormat="1" applyFont="1" applyFill="1" applyBorder="1" applyAlignment="1">
      <alignment horizontal="center" vertical="center"/>
    </xf>
    <xf numFmtId="2" fontId="3" fillId="27" borderId="185" xfId="1" applyNumberFormat="1" applyFont="1" applyFill="1" applyBorder="1" applyAlignment="1">
      <alignment horizontal="center" vertical="center"/>
    </xf>
    <xf numFmtId="2" fontId="3" fillId="26" borderId="82" xfId="1" applyNumberFormat="1" applyFont="1" applyFill="1" applyBorder="1" applyAlignment="1">
      <alignment horizontal="center" vertical="center"/>
    </xf>
    <xf numFmtId="2" fontId="3" fillId="26" borderId="78" xfId="1" applyNumberFormat="1" applyFont="1" applyFill="1" applyBorder="1" applyAlignment="1">
      <alignment horizontal="center" vertical="center"/>
    </xf>
    <xf numFmtId="2" fontId="3" fillId="0" borderId="181" xfId="1" applyNumberFormat="1" applyFont="1" applyFill="1" applyBorder="1" applyAlignment="1">
      <alignment horizontal="center" vertical="center"/>
    </xf>
    <xf numFmtId="2" fontId="3" fillId="26" borderId="77" xfId="1" applyNumberFormat="1" applyFont="1" applyFill="1" applyBorder="1" applyAlignment="1">
      <alignment horizontal="center" vertical="center"/>
    </xf>
    <xf numFmtId="2" fontId="3" fillId="25" borderId="30" xfId="1" applyNumberFormat="1" applyFont="1" applyFill="1" applyBorder="1" applyAlignment="1">
      <alignment horizontal="center" vertical="center"/>
    </xf>
    <xf numFmtId="2" fontId="3" fillId="27" borderId="154" xfId="1" applyNumberFormat="1" applyFont="1" applyFill="1" applyBorder="1" applyAlignment="1">
      <alignment horizontal="center" vertical="center"/>
    </xf>
    <xf numFmtId="2" fontId="3" fillId="27" borderId="155" xfId="1" applyNumberFormat="1" applyFont="1" applyFill="1" applyBorder="1" applyAlignment="1">
      <alignment horizontal="center" vertical="center"/>
    </xf>
    <xf numFmtId="2" fontId="3" fillId="25" borderId="180" xfId="1" applyNumberFormat="1" applyFont="1" applyFill="1" applyBorder="1" applyAlignment="1">
      <alignment horizontal="center" vertical="center"/>
    </xf>
    <xf numFmtId="0" fontId="7" fillId="0" borderId="186" xfId="1" applyFont="1" applyBorder="1" applyAlignment="1">
      <alignment horizontal="left" vertical="center" wrapText="1"/>
    </xf>
    <xf numFmtId="2" fontId="3" fillId="26" borderId="180" xfId="1" applyNumberFormat="1" applyFont="1" applyFill="1" applyBorder="1" applyAlignment="1">
      <alignment horizontal="center" vertical="center"/>
    </xf>
    <xf numFmtId="2" fontId="3" fillId="25" borderId="28" xfId="1" applyNumberFormat="1" applyFont="1" applyFill="1" applyBorder="1" applyAlignment="1">
      <alignment horizontal="center" vertical="center"/>
    </xf>
    <xf numFmtId="0" fontId="12" fillId="13" borderId="52" xfId="1" applyFont="1" applyFill="1" applyBorder="1" applyAlignment="1">
      <alignment horizontal="center" vertical="center" wrapText="1"/>
    </xf>
    <xf numFmtId="0" fontId="12" fillId="13" borderId="52" xfId="1" applyFont="1" applyFill="1" applyBorder="1" applyAlignment="1">
      <alignment horizontal="center" vertical="center" wrapText="1"/>
    </xf>
    <xf numFmtId="0" fontId="3" fillId="0" borderId="88" xfId="1" applyFont="1" applyBorder="1" applyAlignment="1">
      <alignment horizontal="center" vertical="center"/>
    </xf>
    <xf numFmtId="0" fontId="3" fillId="0" borderId="89" xfId="1" applyFont="1" applyBorder="1" applyAlignment="1">
      <alignment horizontal="center" vertical="center"/>
    </xf>
    <xf numFmtId="0" fontId="3" fillId="0" borderId="90" xfId="1" applyFont="1" applyBorder="1" applyAlignment="1">
      <alignment horizontal="center" vertical="center"/>
    </xf>
    <xf numFmtId="2" fontId="3" fillId="25" borderId="1" xfId="1" applyNumberFormat="1" applyFont="1" applyFill="1" applyBorder="1" applyAlignment="1">
      <alignment horizontal="center" vertical="center"/>
    </xf>
    <xf numFmtId="0" fontId="3" fillId="0" borderId="176" xfId="1" applyFont="1" applyFill="1" applyBorder="1" applyAlignment="1">
      <alignment horizontal="center" vertical="center"/>
    </xf>
    <xf numFmtId="0" fontId="3" fillId="26" borderId="176" xfId="1" applyFont="1" applyFill="1" applyBorder="1" applyAlignment="1">
      <alignment horizontal="center" vertical="center"/>
    </xf>
    <xf numFmtId="165" fontId="3" fillId="0" borderId="180" xfId="1" applyNumberFormat="1" applyFont="1" applyFill="1" applyBorder="1" applyAlignment="1">
      <alignment horizontal="center" vertical="center"/>
    </xf>
    <xf numFmtId="2" fontId="3" fillId="0" borderId="176" xfId="1" applyNumberFormat="1" applyFont="1" applyFill="1" applyBorder="1" applyAlignment="1">
      <alignment horizontal="right" vertical="center"/>
    </xf>
    <xf numFmtId="0" fontId="3" fillId="0" borderId="52" xfId="1" applyFont="1" applyFill="1" applyBorder="1" applyAlignment="1">
      <alignment horizontal="center" vertical="center"/>
    </xf>
    <xf numFmtId="165" fontId="3" fillId="26" borderId="180" xfId="1" applyNumberFormat="1" applyFont="1" applyFill="1" applyBorder="1" applyAlignment="1">
      <alignment horizontal="center" vertical="center"/>
    </xf>
    <xf numFmtId="2" fontId="3" fillId="26" borderId="176" xfId="1" applyNumberFormat="1" applyFont="1" applyFill="1" applyBorder="1" applyAlignment="1">
      <alignment horizontal="right" vertical="center"/>
    </xf>
    <xf numFmtId="165" fontId="3" fillId="25" borderId="180" xfId="1" applyNumberFormat="1" applyFont="1" applyFill="1" applyBorder="1" applyAlignment="1">
      <alignment horizontal="center" vertical="center"/>
    </xf>
    <xf numFmtId="165" fontId="3" fillId="25" borderId="28" xfId="1" applyNumberFormat="1" applyFont="1" applyFill="1" applyBorder="1" applyAlignment="1">
      <alignment horizontal="center" vertical="center"/>
    </xf>
    <xf numFmtId="2" fontId="3" fillId="25" borderId="71" xfId="1" applyNumberFormat="1" applyFont="1" applyFill="1" applyBorder="1" applyAlignment="1">
      <alignment horizontal="center" vertical="center"/>
    </xf>
    <xf numFmtId="0" fontId="8" fillId="12" borderId="0" xfId="1" applyFont="1" applyFill="1" applyAlignment="1">
      <alignment horizontal="center"/>
    </xf>
    <xf numFmtId="0" fontId="20" fillId="34" borderId="0" xfId="1" applyFont="1" applyFill="1" applyAlignment="1">
      <alignment horizontal="center"/>
    </xf>
    <xf numFmtId="0" fontId="1" fillId="35" borderId="0" xfId="1" applyFont="1" applyFill="1" applyAlignment="1">
      <alignment horizontal="center"/>
    </xf>
    <xf numFmtId="0" fontId="1" fillId="12" borderId="0" xfId="1" applyFill="1"/>
    <xf numFmtId="0" fontId="3" fillId="0" borderId="38" xfId="1" applyFont="1" applyBorder="1" applyAlignment="1">
      <alignment horizontal="left" vertical="center" wrapText="1"/>
    </xf>
    <xf numFmtId="0" fontId="1" fillId="12" borderId="144" xfId="1" applyFill="1" applyBorder="1"/>
    <xf numFmtId="0" fontId="1" fillId="12" borderId="187" xfId="1" applyFill="1" applyBorder="1" applyAlignment="1">
      <alignment horizontal="center"/>
    </xf>
    <xf numFmtId="2" fontId="1" fillId="36" borderId="188" xfId="1" applyNumberFormat="1" applyFill="1" applyBorder="1" applyAlignment="1">
      <alignment horizontal="center"/>
    </xf>
    <xf numFmtId="0" fontId="1" fillId="36" borderId="189" xfId="1" applyNumberFormat="1" applyFill="1" applyBorder="1" applyAlignment="1">
      <alignment horizontal="center"/>
    </xf>
    <xf numFmtId="0" fontId="1" fillId="12" borderId="0" xfId="1" applyFont="1" applyFill="1"/>
    <xf numFmtId="0" fontId="3" fillId="0" borderId="43" xfId="1" applyFont="1" applyBorder="1" applyAlignment="1">
      <alignment horizontal="left" vertical="center" wrapText="1"/>
    </xf>
    <xf numFmtId="0" fontId="1" fillId="12" borderId="149" xfId="1" applyFill="1" applyBorder="1"/>
    <xf numFmtId="0" fontId="1" fillId="12" borderId="60" xfId="1" applyFill="1" applyBorder="1" applyAlignment="1">
      <alignment horizontal="center"/>
    </xf>
    <xf numFmtId="2" fontId="1" fillId="36" borderId="60" xfId="1" applyNumberFormat="1" applyFill="1" applyBorder="1" applyAlignment="1">
      <alignment horizontal="center"/>
    </xf>
    <xf numFmtId="0" fontId="1" fillId="36" borderId="190" xfId="1" applyNumberFormat="1" applyFill="1" applyBorder="1" applyAlignment="1">
      <alignment horizontal="center"/>
    </xf>
    <xf numFmtId="0" fontId="3" fillId="0" borderId="48" xfId="1" applyFont="1" applyBorder="1" applyAlignment="1">
      <alignment horizontal="left" vertical="center" wrapText="1"/>
    </xf>
    <xf numFmtId="0" fontId="1" fillId="12" borderId="191" xfId="1" applyFill="1" applyBorder="1"/>
    <xf numFmtId="0" fontId="1" fillId="12" borderId="79" xfId="1" applyFill="1" applyBorder="1" applyAlignment="1">
      <alignment horizontal="center"/>
    </xf>
    <xf numFmtId="2" fontId="1" fillId="36" borderId="192" xfId="1" applyNumberFormat="1" applyFill="1" applyBorder="1" applyAlignment="1">
      <alignment horizontal="center"/>
    </xf>
    <xf numFmtId="0" fontId="1" fillId="36" borderId="183" xfId="1" applyNumberFormat="1" applyFill="1" applyBorder="1" applyAlignment="1">
      <alignment horizontal="center"/>
    </xf>
    <xf numFmtId="0" fontId="3" fillId="0" borderId="193" xfId="1" applyFont="1" applyBorder="1" applyAlignment="1">
      <alignment horizontal="left" vertical="center" wrapText="1"/>
    </xf>
    <xf numFmtId="0" fontId="1" fillId="12" borderId="148" xfId="1" applyFill="1" applyBorder="1"/>
    <xf numFmtId="0" fontId="1" fillId="12" borderId="194" xfId="1" applyFill="1" applyBorder="1" applyAlignment="1">
      <alignment horizontal="center"/>
    </xf>
    <xf numFmtId="0" fontId="3" fillId="0" borderId="110" xfId="1" applyFont="1" applyBorder="1" applyAlignment="1">
      <alignment horizontal="left" vertical="center" wrapText="1"/>
    </xf>
    <xf numFmtId="0" fontId="3" fillId="0" borderId="195" xfId="1" applyFont="1" applyBorder="1" applyAlignment="1">
      <alignment horizontal="left" vertical="center" wrapText="1"/>
    </xf>
    <xf numFmtId="0" fontId="8" fillId="12" borderId="0" xfId="1" applyFont="1" applyFill="1"/>
    <xf numFmtId="0" fontId="1" fillId="0" borderId="0" xfId="1"/>
    <xf numFmtId="0" fontId="21" fillId="4" borderId="42" xfId="1" applyFont="1" applyFill="1" applyBorder="1" applyAlignment="1">
      <alignment horizontal="center" vertical="center"/>
    </xf>
    <xf numFmtId="0" fontId="21" fillId="4" borderId="26" xfId="1" applyFont="1" applyFill="1" applyBorder="1" applyAlignment="1">
      <alignment horizontal="center" vertical="center"/>
    </xf>
    <xf numFmtId="0" fontId="21" fillId="4" borderId="95" xfId="1" applyFont="1" applyFill="1" applyBorder="1" applyAlignment="1">
      <alignment horizontal="center" vertical="center"/>
    </xf>
    <xf numFmtId="0" fontId="21" fillId="4" borderId="47" xfId="1" applyFont="1" applyFill="1" applyBorder="1" applyAlignment="1">
      <alignment horizontal="center" vertical="center"/>
    </xf>
    <xf numFmtId="0" fontId="21" fillId="4" borderId="0" xfId="1" applyFont="1" applyFill="1" applyBorder="1" applyAlignment="1">
      <alignment horizontal="center" vertical="center"/>
    </xf>
    <xf numFmtId="0" fontId="21" fillId="4" borderId="18" xfId="1" applyFont="1" applyFill="1" applyBorder="1" applyAlignment="1">
      <alignment horizontal="center" vertical="center"/>
    </xf>
    <xf numFmtId="0" fontId="21" fillId="4" borderId="176" xfId="1" applyFont="1" applyFill="1" applyBorder="1" applyAlignment="1">
      <alignment horizontal="center" vertical="center"/>
    </xf>
    <xf numFmtId="0" fontId="21" fillId="4" borderId="52" xfId="1" applyFont="1" applyFill="1" applyBorder="1" applyAlignment="1">
      <alignment horizontal="center" vertical="center"/>
    </xf>
    <xf numFmtId="0" fontId="21" fillId="4" borderId="141" xfId="1" applyFont="1" applyFill="1" applyBorder="1" applyAlignment="1">
      <alignment horizontal="center" vertical="center"/>
    </xf>
    <xf numFmtId="0" fontId="20" fillId="37" borderId="1" xfId="1" applyFont="1" applyFill="1" applyBorder="1" applyAlignment="1">
      <alignment horizontal="center" vertical="center"/>
    </xf>
    <xf numFmtId="0" fontId="18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/>
    </xf>
  </cellXfs>
  <cellStyles count="2">
    <cellStyle name="Normal" xfId="0" builtinId="0"/>
    <cellStyle name="Normal 2" xfId="1"/>
  </cellStyles>
  <dxfs count="61">
    <dxf>
      <font>
        <b/>
        <i val="0"/>
        <color theme="0"/>
      </font>
      <fill>
        <patternFill>
          <bgColor rgb="FFFF8989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/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>
          <bgColor rgb="FFFF0000"/>
        </patternFill>
      </fill>
    </dxf>
    <dxf>
      <fill>
        <patternFill patternType="darkUp"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 patternType="darkGrid">
          <fgColor auto="1"/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>
          <bgColor theme="1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 patternType="darkGrid">
          <fgColor auto="1"/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Analyse!$B$2</c:f>
          <c:strCache>
            <c:ptCount val="1"/>
            <c:pt idx="0">
              <c:v>L1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Analyse!$D$2</c:f>
              <c:strCache>
                <c:ptCount val="1"/>
                <c:pt idx="0">
                  <c:v>Tol+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Analyse!$A$3:$A$26</c:f>
              <c:strCache>
                <c:ptCount val="24"/>
                <c:pt idx="0">
                  <c:v>P03</c:v>
                </c:pt>
                <c:pt idx="1">
                  <c:v>P02</c:v>
                </c:pt>
                <c:pt idx="2">
                  <c:v>P01</c:v>
                </c:pt>
                <c:pt idx="3">
                  <c:v>CR03</c:v>
                </c:pt>
                <c:pt idx="4">
                  <c:v>CR06</c:v>
                </c:pt>
                <c:pt idx="5">
                  <c:v>CR10</c:v>
                </c:pt>
                <c:pt idx="6">
                  <c:v>CR20</c:v>
                </c:pt>
                <c:pt idx="7">
                  <c:v>CR30</c:v>
                </c:pt>
                <c:pt idx="8">
                  <c:v>CR35</c:v>
                </c:pt>
                <c:pt idx="9">
                  <c:v>CR40</c:v>
                </c:pt>
                <c:pt idx="10">
                  <c:v>CR45</c:v>
                </c:pt>
                <c:pt idx="11">
                  <c:v>CR50</c:v>
                </c:pt>
                <c:pt idx="12">
                  <c:v>CR54</c:v>
                </c:pt>
                <c:pt idx="13">
                  <c:v>CR58</c:v>
                </c:pt>
                <c:pt idx="14">
                  <c:v>CR63</c:v>
                </c:pt>
                <c:pt idx="15">
                  <c:v>CR67</c:v>
                </c:pt>
                <c:pt idx="16">
                  <c:v>CR71</c:v>
                </c:pt>
                <c:pt idx="17">
                  <c:v>CR75</c:v>
                </c:pt>
                <c:pt idx="18">
                  <c:v>CR79</c:v>
                </c:pt>
                <c:pt idx="19">
                  <c:v>CR84</c:v>
                </c:pt>
                <c:pt idx="20">
                  <c:v>CR88</c:v>
                </c:pt>
                <c:pt idx="21">
                  <c:v>CR90</c:v>
                </c:pt>
                <c:pt idx="22">
                  <c:v>CR93</c:v>
                </c:pt>
                <c:pt idx="23">
                  <c:v>CR94</c:v>
                </c:pt>
              </c:strCache>
            </c:strRef>
          </c:cat>
          <c:val>
            <c:numRef>
              <c:f>Analyse!$D$3:$D$26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1.5000000000000018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1.1999999999999993</c:v>
                </c:pt>
                <c:pt idx="21">
                  <c:v>1.1999999999999993</c:v>
                </c:pt>
                <c:pt idx="22">
                  <c:v>1.1999999999999993</c:v>
                </c:pt>
                <c:pt idx="23">
                  <c:v>1.1999999999999993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0-46C0-94E6-AADBE5D90363}"/>
            </c:ext>
          </c:extLst>
        </c:ser>
        <c:ser>
          <c:idx val="2"/>
          <c:order val="1"/>
          <c:tx>
            <c:strRef>
              <c:f>Analyse!$E$2</c:f>
              <c:strCache>
                <c:ptCount val="1"/>
                <c:pt idx="0">
                  <c:v>Tol-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Analyse!$A$3:$A$26</c:f>
              <c:strCache>
                <c:ptCount val="24"/>
                <c:pt idx="0">
                  <c:v>P03</c:v>
                </c:pt>
                <c:pt idx="1">
                  <c:v>P02</c:v>
                </c:pt>
                <c:pt idx="2">
                  <c:v>P01</c:v>
                </c:pt>
                <c:pt idx="3">
                  <c:v>CR03</c:v>
                </c:pt>
                <c:pt idx="4">
                  <c:v>CR06</c:v>
                </c:pt>
                <c:pt idx="5">
                  <c:v>CR10</c:v>
                </c:pt>
                <c:pt idx="6">
                  <c:v>CR20</c:v>
                </c:pt>
                <c:pt idx="7">
                  <c:v>CR30</c:v>
                </c:pt>
                <c:pt idx="8">
                  <c:v>CR35</c:v>
                </c:pt>
                <c:pt idx="9">
                  <c:v>CR40</c:v>
                </c:pt>
                <c:pt idx="10">
                  <c:v>CR45</c:v>
                </c:pt>
                <c:pt idx="11">
                  <c:v>CR50</c:v>
                </c:pt>
                <c:pt idx="12">
                  <c:v>CR54</c:v>
                </c:pt>
                <c:pt idx="13">
                  <c:v>CR58</c:v>
                </c:pt>
                <c:pt idx="14">
                  <c:v>CR63</c:v>
                </c:pt>
                <c:pt idx="15">
                  <c:v>CR67</c:v>
                </c:pt>
                <c:pt idx="16">
                  <c:v>CR71</c:v>
                </c:pt>
                <c:pt idx="17">
                  <c:v>CR75</c:v>
                </c:pt>
                <c:pt idx="18">
                  <c:v>CR79</c:v>
                </c:pt>
                <c:pt idx="19">
                  <c:v>CR84</c:v>
                </c:pt>
                <c:pt idx="20">
                  <c:v>CR88</c:v>
                </c:pt>
                <c:pt idx="21">
                  <c:v>CR90</c:v>
                </c:pt>
                <c:pt idx="22">
                  <c:v>CR93</c:v>
                </c:pt>
                <c:pt idx="23">
                  <c:v>CR94</c:v>
                </c:pt>
              </c:strCache>
            </c:strRef>
          </c:cat>
          <c:val>
            <c:numRef>
              <c:f>Analyse!$E$3:$E$26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0-46C0-94E6-AADBE5D90363}"/>
            </c:ext>
          </c:extLst>
        </c:ser>
        <c:ser>
          <c:idx val="0"/>
          <c:order val="2"/>
          <c:tx>
            <c:strRef>
              <c:f>Analyse!$G$2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Analyse!$A$3:$A$26</c:f>
              <c:strCache>
                <c:ptCount val="24"/>
                <c:pt idx="0">
                  <c:v>P03</c:v>
                </c:pt>
                <c:pt idx="1">
                  <c:v>P02</c:v>
                </c:pt>
                <c:pt idx="2">
                  <c:v>P01</c:v>
                </c:pt>
                <c:pt idx="3">
                  <c:v>CR03</c:v>
                </c:pt>
                <c:pt idx="4">
                  <c:v>CR06</c:v>
                </c:pt>
                <c:pt idx="5">
                  <c:v>CR10</c:v>
                </c:pt>
                <c:pt idx="6">
                  <c:v>CR20</c:v>
                </c:pt>
                <c:pt idx="7">
                  <c:v>CR30</c:v>
                </c:pt>
                <c:pt idx="8">
                  <c:v>CR35</c:v>
                </c:pt>
                <c:pt idx="9">
                  <c:v>CR40</c:v>
                </c:pt>
                <c:pt idx="10">
                  <c:v>CR45</c:v>
                </c:pt>
                <c:pt idx="11">
                  <c:v>CR50</c:v>
                </c:pt>
                <c:pt idx="12">
                  <c:v>CR54</c:v>
                </c:pt>
                <c:pt idx="13">
                  <c:v>CR58</c:v>
                </c:pt>
                <c:pt idx="14">
                  <c:v>CR63</c:v>
                </c:pt>
                <c:pt idx="15">
                  <c:v>CR67</c:v>
                </c:pt>
                <c:pt idx="16">
                  <c:v>CR71</c:v>
                </c:pt>
                <c:pt idx="17">
                  <c:v>CR75</c:v>
                </c:pt>
                <c:pt idx="18">
                  <c:v>CR79</c:v>
                </c:pt>
                <c:pt idx="19">
                  <c:v>CR84</c:v>
                </c:pt>
                <c:pt idx="20">
                  <c:v>CR88</c:v>
                </c:pt>
                <c:pt idx="21">
                  <c:v>CR90</c:v>
                </c:pt>
                <c:pt idx="22">
                  <c:v>CR93</c:v>
                </c:pt>
                <c:pt idx="23">
                  <c:v>CR94</c:v>
                </c:pt>
              </c:strCache>
            </c:strRef>
          </c:cat>
          <c:val>
            <c:numRef>
              <c:f>Analyse!$G$3:$G$26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0.28999999999999998</c:v>
                </c:pt>
                <c:pt idx="4">
                  <c:v>0.18</c:v>
                </c:pt>
                <c:pt idx="5">
                  <c:v>0.08</c:v>
                </c:pt>
                <c:pt idx="6">
                  <c:v>0.06</c:v>
                </c:pt>
                <c:pt idx="7">
                  <c:v>0.05</c:v>
                </c:pt>
                <c:pt idx="8">
                  <c:v>-0.01</c:v>
                </c:pt>
                <c:pt idx="9">
                  <c:v>-0.06</c:v>
                </c:pt>
                <c:pt idx="10">
                  <c:v>0.06</c:v>
                </c:pt>
                <c:pt idx="11">
                  <c:v>0.22</c:v>
                </c:pt>
                <c:pt idx="12">
                  <c:v>0.38</c:v>
                </c:pt>
                <c:pt idx="13">
                  <c:v>0.42</c:v>
                </c:pt>
                <c:pt idx="14">
                  <c:v>0.57999999999999996</c:v>
                </c:pt>
                <c:pt idx="15">
                  <c:v>0.65</c:v>
                </c:pt>
                <c:pt idx="16">
                  <c:v>0.67</c:v>
                </c:pt>
                <c:pt idx="17">
                  <c:v>0.86</c:v>
                </c:pt>
                <c:pt idx="18">
                  <c:v>0.85</c:v>
                </c:pt>
                <c:pt idx="19">
                  <c:v>0.76</c:v>
                </c:pt>
                <c:pt idx="20">
                  <c:v>0.6</c:v>
                </c:pt>
                <c:pt idx="21">
                  <c:v>0.48</c:v>
                </c:pt>
                <c:pt idx="22">
                  <c:v>0.39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90-46C0-94E6-AADBE5D90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587128"/>
        <c:axId val="528587520"/>
      </c:lineChart>
      <c:catAx>
        <c:axId val="5285871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8587520"/>
        <c:crosses val="autoZero"/>
        <c:auto val="1"/>
        <c:lblAlgn val="ctr"/>
        <c:lblOffset val="100"/>
        <c:noMultiLvlLbl val="0"/>
      </c:catAx>
      <c:valAx>
        <c:axId val="5285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858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617962</xdr:colOff>
      <xdr:row>6</xdr:row>
      <xdr:rowOff>107873</xdr:rowOff>
    </xdr:from>
    <xdr:to>
      <xdr:col>5</xdr:col>
      <xdr:colOff>287925</xdr:colOff>
      <xdr:row>11</xdr:row>
      <xdr:rowOff>92543</xdr:rowOff>
    </xdr:to>
    <xdr:cxnSp macro="">
      <xdr:nvCxnSpPr>
        <xdr:cNvPr id="2" name="Connecteur en angle 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 rot="10800000" flipV="1">
          <a:off x="3475462" y="1003223"/>
          <a:ext cx="384338" cy="1699170"/>
        </a:xfrm>
        <a:prstGeom prst="bentConnector2">
          <a:avLst/>
        </a:prstGeom>
        <a:ln>
          <a:solidFill>
            <a:srgbClr val="9F5FC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617044</xdr:colOff>
      <xdr:row>6</xdr:row>
      <xdr:rowOff>107873</xdr:rowOff>
    </xdr:from>
    <xdr:to>
      <xdr:col>13</xdr:col>
      <xdr:colOff>245017</xdr:colOff>
      <xdr:row>11</xdr:row>
      <xdr:rowOff>95123</xdr:rowOff>
    </xdr:to>
    <xdr:cxnSp macro="">
      <xdr:nvCxnSpPr>
        <xdr:cNvPr id="3" name="Connecteur en angle 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 rot="10800000" flipV="1">
          <a:off x="9189544" y="1003223"/>
          <a:ext cx="342348" cy="1701750"/>
        </a:xfrm>
        <a:prstGeom prst="bentConnector2">
          <a:avLst/>
        </a:prstGeom>
        <a:ln>
          <a:solidFill>
            <a:srgbClr val="9F5FC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</xdr:row>
      <xdr:rowOff>202406</xdr:rowOff>
    </xdr:from>
    <xdr:to>
      <xdr:col>30</xdr:col>
      <xdr:colOff>714374</xdr:colOff>
      <xdr:row>6</xdr:row>
      <xdr:rowOff>356907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17859375" y="1097756"/>
          <a:ext cx="4286249" cy="15450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900">
              <a:solidFill>
                <a:sysClr val="windowText" lastClr="000000"/>
              </a:solidFill>
            </a:rPr>
            <a:t>Epaisseur</a:t>
          </a:r>
          <a:r>
            <a:rPr lang="fr-FR" sz="900" baseline="0">
              <a:solidFill>
                <a:sysClr val="windowText" lastClr="000000"/>
              </a:solidFill>
            </a:rPr>
            <a:t>s en fond de cavité</a:t>
          </a:r>
          <a:endParaRPr lang="fr-FR" sz="9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279823</xdr:colOff>
      <xdr:row>6</xdr:row>
      <xdr:rowOff>209552</xdr:rowOff>
    </xdr:from>
    <xdr:to>
      <xdr:col>6</xdr:col>
      <xdr:colOff>371186</xdr:colOff>
      <xdr:row>6</xdr:row>
      <xdr:rowOff>371552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873" r="21246" b="44554"/>
        <a:stretch/>
      </xdr:blipFill>
      <xdr:spPr>
        <a:xfrm>
          <a:off x="3851698" y="1104902"/>
          <a:ext cx="805738" cy="1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109335</xdr:colOff>
      <xdr:row>6</xdr:row>
      <xdr:rowOff>25003</xdr:rowOff>
    </xdr:from>
    <xdr:to>
      <xdr:col>6</xdr:col>
      <xdr:colOff>617173</xdr:colOff>
      <xdr:row>6</xdr:row>
      <xdr:rowOff>190743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1210" y="920353"/>
          <a:ext cx="1222213" cy="165740"/>
        </a:xfrm>
        <a:prstGeom prst="rect">
          <a:avLst/>
        </a:prstGeom>
      </xdr:spPr>
    </xdr:pic>
    <xdr:clientData/>
  </xdr:twoCellAnchor>
  <xdr:twoCellAnchor editAs="oneCell">
    <xdr:from>
      <xdr:col>13</xdr:col>
      <xdr:colOff>281432</xdr:colOff>
      <xdr:row>6</xdr:row>
      <xdr:rowOff>209552</xdr:rowOff>
    </xdr:from>
    <xdr:to>
      <xdr:col>14</xdr:col>
      <xdr:colOff>372794</xdr:colOff>
      <xdr:row>6</xdr:row>
      <xdr:rowOff>371552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873" r="21246" b="44554"/>
        <a:stretch/>
      </xdr:blipFill>
      <xdr:spPr>
        <a:xfrm>
          <a:off x="9568307" y="1104902"/>
          <a:ext cx="805737" cy="1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102141</xdr:colOff>
      <xdr:row>6</xdr:row>
      <xdr:rowOff>25003</xdr:rowOff>
    </xdr:from>
    <xdr:to>
      <xdr:col>14</xdr:col>
      <xdr:colOff>609979</xdr:colOff>
      <xdr:row>6</xdr:row>
      <xdr:rowOff>190743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9016" y="920353"/>
          <a:ext cx="1222213" cy="165740"/>
        </a:xfrm>
        <a:prstGeom prst="rect">
          <a:avLst/>
        </a:prstGeom>
      </xdr:spPr>
    </xdr:pic>
    <xdr:clientData/>
  </xdr:twoCellAnchor>
  <xdr:twoCellAnchor editAs="oneCell">
    <xdr:from>
      <xdr:col>57</xdr:col>
      <xdr:colOff>9525</xdr:colOff>
      <xdr:row>30</xdr:row>
      <xdr:rowOff>95250</xdr:rowOff>
    </xdr:from>
    <xdr:to>
      <xdr:col>57</xdr:col>
      <xdr:colOff>419100</xdr:colOff>
      <xdr:row>31</xdr:row>
      <xdr:rowOff>66675</xdr:rowOff>
    </xdr:to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40728900" y="6324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620106</xdr:colOff>
      <xdr:row>11</xdr:row>
      <xdr:rowOff>93812</xdr:rowOff>
    </xdr:from>
    <xdr:to>
      <xdr:col>5</xdr:col>
      <xdr:colOff>59532</xdr:colOff>
      <xdr:row>11</xdr:row>
      <xdr:rowOff>95250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/>
      </xdr:nvCxnSpPr>
      <xdr:spPr>
        <a:xfrm>
          <a:off x="3477606" y="2703662"/>
          <a:ext cx="153801" cy="1438"/>
        </a:xfrm>
        <a:prstGeom prst="straightConnector1">
          <a:avLst/>
        </a:prstGeom>
        <a:ln>
          <a:solidFill>
            <a:srgbClr val="9F5FCF"/>
          </a:solidFill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56031</xdr:colOff>
      <xdr:row>6</xdr:row>
      <xdr:rowOff>190500</xdr:rowOff>
    </xdr:from>
    <xdr:to>
      <xdr:col>9</xdr:col>
      <xdr:colOff>3074</xdr:colOff>
      <xdr:row>7</xdr:row>
      <xdr:rowOff>47813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56656" y="1085850"/>
          <a:ext cx="1375793" cy="238313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179293</xdr:colOff>
      <xdr:row>6</xdr:row>
      <xdr:rowOff>201887</xdr:rowOff>
    </xdr:from>
    <xdr:to>
      <xdr:col>10</xdr:col>
      <xdr:colOff>515472</xdr:colOff>
      <xdr:row>7</xdr:row>
      <xdr:rowOff>47813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8668" y="1097237"/>
          <a:ext cx="1050554" cy="226926"/>
        </a:xfrm>
        <a:prstGeom prst="rect">
          <a:avLst/>
        </a:prstGeom>
      </xdr:spPr>
    </xdr:pic>
    <xdr:clientData/>
  </xdr:twoCellAnchor>
  <xdr:twoCellAnchor editAs="oneCell">
    <xdr:from>
      <xdr:col>24</xdr:col>
      <xdr:colOff>78439</xdr:colOff>
      <xdr:row>6</xdr:row>
      <xdr:rowOff>194922</xdr:rowOff>
    </xdr:from>
    <xdr:to>
      <xdr:col>24</xdr:col>
      <xdr:colOff>584428</xdr:colOff>
      <xdr:row>7</xdr:row>
      <xdr:rowOff>47816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23439" y="1090272"/>
          <a:ext cx="505989" cy="233894"/>
        </a:xfrm>
        <a:prstGeom prst="rect">
          <a:avLst/>
        </a:prstGeom>
      </xdr:spPr>
    </xdr:pic>
    <xdr:clientData/>
  </xdr:twoCellAnchor>
  <xdr:twoCellAnchor editAs="oneCell">
    <xdr:from>
      <xdr:col>15</xdr:col>
      <xdr:colOff>51555</xdr:colOff>
      <xdr:row>6</xdr:row>
      <xdr:rowOff>186016</xdr:rowOff>
    </xdr:from>
    <xdr:to>
      <xdr:col>17</xdr:col>
      <xdr:colOff>1399</xdr:colOff>
      <xdr:row>7</xdr:row>
      <xdr:rowOff>43329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7180" y="1081366"/>
          <a:ext cx="1378594" cy="238313"/>
        </a:xfrm>
        <a:prstGeom prst="rect">
          <a:avLst/>
        </a:prstGeom>
      </xdr:spPr>
    </xdr:pic>
    <xdr:clientData/>
  </xdr:twoCellAnchor>
  <xdr:twoCellAnchor editAs="oneCell">
    <xdr:from>
      <xdr:col>17</xdr:col>
      <xdr:colOff>174818</xdr:colOff>
      <xdr:row>6</xdr:row>
      <xdr:rowOff>197403</xdr:rowOff>
    </xdr:from>
    <xdr:to>
      <xdr:col>18</xdr:col>
      <xdr:colOff>510998</xdr:colOff>
      <xdr:row>7</xdr:row>
      <xdr:rowOff>43329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19193" y="1092753"/>
          <a:ext cx="1050555" cy="226926"/>
        </a:xfrm>
        <a:prstGeom prst="rect">
          <a:avLst/>
        </a:prstGeom>
      </xdr:spPr>
    </xdr:pic>
    <xdr:clientData/>
  </xdr:twoCellAnchor>
  <xdr:twoCellAnchor>
    <xdr:from>
      <xdr:col>4</xdr:col>
      <xdr:colOff>617728</xdr:colOff>
      <xdr:row>10</xdr:row>
      <xdr:rowOff>91432</xdr:rowOff>
    </xdr:from>
    <xdr:to>
      <xdr:col>5</xdr:col>
      <xdr:colOff>57154</xdr:colOff>
      <xdr:row>10</xdr:row>
      <xdr:rowOff>92870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>
          <a:off x="3475228" y="2510782"/>
          <a:ext cx="153801" cy="1438"/>
        </a:xfrm>
        <a:prstGeom prst="straightConnector1">
          <a:avLst/>
        </a:prstGeom>
        <a:ln>
          <a:solidFill>
            <a:srgbClr val="9F5FCF"/>
          </a:solidFill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621300</xdr:colOff>
      <xdr:row>10</xdr:row>
      <xdr:rowOff>95004</xdr:rowOff>
    </xdr:from>
    <xdr:to>
      <xdr:col>13</xdr:col>
      <xdr:colOff>60726</xdr:colOff>
      <xdr:row>10</xdr:row>
      <xdr:rowOff>96442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/>
      </xdr:nvCxnSpPr>
      <xdr:spPr>
        <a:xfrm>
          <a:off x="9193800" y="2514354"/>
          <a:ext cx="153801" cy="1438"/>
        </a:xfrm>
        <a:prstGeom prst="straightConnector1">
          <a:avLst/>
        </a:prstGeom>
        <a:ln>
          <a:solidFill>
            <a:srgbClr val="9F5FCF"/>
          </a:solidFill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618922</xdr:colOff>
      <xdr:row>11</xdr:row>
      <xdr:rowOff>92622</xdr:rowOff>
    </xdr:from>
    <xdr:to>
      <xdr:col>13</xdr:col>
      <xdr:colOff>58348</xdr:colOff>
      <xdr:row>11</xdr:row>
      <xdr:rowOff>94060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>
          <a:off x="9191422" y="2702472"/>
          <a:ext cx="153801" cy="1438"/>
        </a:xfrm>
        <a:prstGeom prst="straightConnector1">
          <a:avLst/>
        </a:prstGeom>
        <a:ln>
          <a:solidFill>
            <a:srgbClr val="9F5FCF"/>
          </a:solidFill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23812</xdr:colOff>
      <xdr:row>41</xdr:row>
      <xdr:rowOff>23812</xdr:rowOff>
    </xdr:from>
    <xdr:to>
      <xdr:col>20</xdr:col>
      <xdr:colOff>15037</xdr:colOff>
      <xdr:row>41</xdr:row>
      <xdr:rowOff>168065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96937" y="8348662"/>
          <a:ext cx="705600" cy="144253"/>
        </a:xfrm>
        <a:prstGeom prst="rect">
          <a:avLst/>
        </a:prstGeom>
      </xdr:spPr>
    </xdr:pic>
    <xdr:clientData/>
  </xdr:twoCellAnchor>
  <xdr:twoCellAnchor editAs="oneCell">
    <xdr:from>
      <xdr:col>23</xdr:col>
      <xdr:colOff>23812</xdr:colOff>
      <xdr:row>41</xdr:row>
      <xdr:rowOff>23812</xdr:rowOff>
    </xdr:from>
    <xdr:to>
      <xdr:col>24</xdr:col>
      <xdr:colOff>14073</xdr:colOff>
      <xdr:row>41</xdr:row>
      <xdr:rowOff>164853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4437" y="8348662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27</xdr:col>
      <xdr:colOff>23812</xdr:colOff>
      <xdr:row>41</xdr:row>
      <xdr:rowOff>23812</xdr:rowOff>
    </xdr:from>
    <xdr:to>
      <xdr:col>28</xdr:col>
      <xdr:colOff>14073</xdr:colOff>
      <xdr:row>41</xdr:row>
      <xdr:rowOff>164853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11937" y="8348662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</xdr:colOff>
      <xdr:row>81</xdr:row>
      <xdr:rowOff>23812</xdr:rowOff>
    </xdr:from>
    <xdr:to>
      <xdr:col>20</xdr:col>
      <xdr:colOff>15037</xdr:colOff>
      <xdr:row>81</xdr:row>
      <xdr:rowOff>168065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96937" y="16978312"/>
          <a:ext cx="705600" cy="144253"/>
        </a:xfrm>
        <a:prstGeom prst="rect">
          <a:avLst/>
        </a:prstGeom>
      </xdr:spPr>
    </xdr:pic>
    <xdr:clientData/>
  </xdr:twoCellAnchor>
  <xdr:twoCellAnchor editAs="oneCell">
    <xdr:from>
      <xdr:col>23</xdr:col>
      <xdr:colOff>23812</xdr:colOff>
      <xdr:row>81</xdr:row>
      <xdr:rowOff>23812</xdr:rowOff>
    </xdr:from>
    <xdr:to>
      <xdr:col>24</xdr:col>
      <xdr:colOff>14073</xdr:colOff>
      <xdr:row>81</xdr:row>
      <xdr:rowOff>164853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4437" y="16978312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27</xdr:col>
      <xdr:colOff>23812</xdr:colOff>
      <xdr:row>81</xdr:row>
      <xdr:rowOff>23812</xdr:rowOff>
    </xdr:from>
    <xdr:to>
      <xdr:col>28</xdr:col>
      <xdr:colOff>14073</xdr:colOff>
      <xdr:row>81</xdr:row>
      <xdr:rowOff>164853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11937" y="16978312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</xdr:colOff>
      <xdr:row>119</xdr:row>
      <xdr:rowOff>23812</xdr:rowOff>
    </xdr:from>
    <xdr:to>
      <xdr:col>20</xdr:col>
      <xdr:colOff>15037</xdr:colOff>
      <xdr:row>119</xdr:row>
      <xdr:rowOff>168065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96937" y="24931687"/>
          <a:ext cx="705600" cy="144253"/>
        </a:xfrm>
        <a:prstGeom prst="rect">
          <a:avLst/>
        </a:prstGeom>
      </xdr:spPr>
    </xdr:pic>
    <xdr:clientData/>
  </xdr:twoCellAnchor>
  <xdr:twoCellAnchor editAs="oneCell">
    <xdr:from>
      <xdr:col>23</xdr:col>
      <xdr:colOff>23812</xdr:colOff>
      <xdr:row>119</xdr:row>
      <xdr:rowOff>23812</xdr:rowOff>
    </xdr:from>
    <xdr:to>
      <xdr:col>24</xdr:col>
      <xdr:colOff>14073</xdr:colOff>
      <xdr:row>119</xdr:row>
      <xdr:rowOff>164853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4437" y="24931687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27</xdr:col>
      <xdr:colOff>23812</xdr:colOff>
      <xdr:row>119</xdr:row>
      <xdr:rowOff>23812</xdr:rowOff>
    </xdr:from>
    <xdr:to>
      <xdr:col>28</xdr:col>
      <xdr:colOff>14073</xdr:colOff>
      <xdr:row>119</xdr:row>
      <xdr:rowOff>164853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11937" y="24931687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</xdr:colOff>
      <xdr:row>157</xdr:row>
      <xdr:rowOff>23812</xdr:rowOff>
    </xdr:from>
    <xdr:to>
      <xdr:col>20</xdr:col>
      <xdr:colOff>15037</xdr:colOff>
      <xdr:row>157</xdr:row>
      <xdr:rowOff>168065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96937" y="32885062"/>
          <a:ext cx="705600" cy="144253"/>
        </a:xfrm>
        <a:prstGeom prst="rect">
          <a:avLst/>
        </a:prstGeom>
      </xdr:spPr>
    </xdr:pic>
    <xdr:clientData/>
  </xdr:twoCellAnchor>
  <xdr:twoCellAnchor editAs="oneCell">
    <xdr:from>
      <xdr:col>23</xdr:col>
      <xdr:colOff>23812</xdr:colOff>
      <xdr:row>157</xdr:row>
      <xdr:rowOff>23812</xdr:rowOff>
    </xdr:from>
    <xdr:to>
      <xdr:col>24</xdr:col>
      <xdr:colOff>14073</xdr:colOff>
      <xdr:row>157</xdr:row>
      <xdr:rowOff>164853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4437" y="32885062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27</xdr:col>
      <xdr:colOff>23812</xdr:colOff>
      <xdr:row>157</xdr:row>
      <xdr:rowOff>23812</xdr:rowOff>
    </xdr:from>
    <xdr:to>
      <xdr:col>28</xdr:col>
      <xdr:colOff>14073</xdr:colOff>
      <xdr:row>157</xdr:row>
      <xdr:rowOff>164853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11937" y="32885062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54</xdr:col>
      <xdr:colOff>23812</xdr:colOff>
      <xdr:row>119</xdr:row>
      <xdr:rowOff>23812</xdr:rowOff>
    </xdr:from>
    <xdr:to>
      <xdr:col>55</xdr:col>
      <xdr:colOff>15037</xdr:colOff>
      <xdr:row>119</xdr:row>
      <xdr:rowOff>168065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600062" y="24931687"/>
          <a:ext cx="705600" cy="144253"/>
        </a:xfrm>
        <a:prstGeom prst="rect">
          <a:avLst/>
        </a:prstGeom>
      </xdr:spPr>
    </xdr:pic>
    <xdr:clientData/>
  </xdr:twoCellAnchor>
  <xdr:twoCellAnchor editAs="oneCell">
    <xdr:from>
      <xdr:col>54</xdr:col>
      <xdr:colOff>23812</xdr:colOff>
      <xdr:row>157</xdr:row>
      <xdr:rowOff>23812</xdr:rowOff>
    </xdr:from>
    <xdr:to>
      <xdr:col>55</xdr:col>
      <xdr:colOff>15037</xdr:colOff>
      <xdr:row>157</xdr:row>
      <xdr:rowOff>168065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600062" y="32885062"/>
          <a:ext cx="705600" cy="144253"/>
        </a:xfrm>
        <a:prstGeom prst="rect">
          <a:avLst/>
        </a:prstGeom>
      </xdr:spPr>
    </xdr:pic>
    <xdr:clientData/>
  </xdr:twoCellAnchor>
  <xdr:twoCellAnchor editAs="oneCell">
    <xdr:from>
      <xdr:col>58</xdr:col>
      <xdr:colOff>23812</xdr:colOff>
      <xdr:row>119</xdr:row>
      <xdr:rowOff>23812</xdr:rowOff>
    </xdr:from>
    <xdr:to>
      <xdr:col>59</xdr:col>
      <xdr:colOff>14073</xdr:colOff>
      <xdr:row>119</xdr:row>
      <xdr:rowOff>164853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7562" y="24931687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58</xdr:col>
      <xdr:colOff>23812</xdr:colOff>
      <xdr:row>157</xdr:row>
      <xdr:rowOff>23812</xdr:rowOff>
    </xdr:from>
    <xdr:to>
      <xdr:col>59</xdr:col>
      <xdr:colOff>14073</xdr:colOff>
      <xdr:row>157</xdr:row>
      <xdr:rowOff>164853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7562" y="32885062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62</xdr:col>
      <xdr:colOff>23812</xdr:colOff>
      <xdr:row>119</xdr:row>
      <xdr:rowOff>23812</xdr:rowOff>
    </xdr:from>
    <xdr:to>
      <xdr:col>63</xdr:col>
      <xdr:colOff>14073</xdr:colOff>
      <xdr:row>119</xdr:row>
      <xdr:rowOff>164853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15062" y="24931687"/>
          <a:ext cx="704636" cy="141041"/>
        </a:xfrm>
        <a:prstGeom prst="rect">
          <a:avLst/>
        </a:prstGeom>
      </xdr:spPr>
    </xdr:pic>
    <xdr:clientData/>
  </xdr:twoCellAnchor>
  <xdr:twoCellAnchor editAs="oneCell">
    <xdr:from>
      <xdr:col>62</xdr:col>
      <xdr:colOff>23812</xdr:colOff>
      <xdr:row>157</xdr:row>
      <xdr:rowOff>23812</xdr:rowOff>
    </xdr:from>
    <xdr:to>
      <xdr:col>63</xdr:col>
      <xdr:colOff>14073</xdr:colOff>
      <xdr:row>157</xdr:row>
      <xdr:rowOff>164853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15062" y="32885062"/>
          <a:ext cx="704636" cy="141041"/>
        </a:xfrm>
        <a:prstGeom prst="rect">
          <a:avLst/>
        </a:prstGeom>
      </xdr:spPr>
    </xdr:pic>
    <xdr:clientData/>
  </xdr:twoCellAnchor>
  <xdr:oneCellAnchor>
    <xdr:from>
      <xdr:col>94</xdr:col>
      <xdr:colOff>9525</xdr:colOff>
      <xdr:row>32</xdr:row>
      <xdr:rowOff>95250</xdr:rowOff>
    </xdr:from>
    <xdr:ext cx="409575" cy="161925"/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765607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94</xdr:col>
      <xdr:colOff>9525</xdr:colOff>
      <xdr:row>32</xdr:row>
      <xdr:rowOff>95250</xdr:rowOff>
    </xdr:from>
    <xdr:ext cx="409575" cy="161925"/>
    <xdr:sp macro="" textlink="">
      <xdr:nvSpPr>
        <xdr:cNvPr id="38" name="AutoShape 45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765607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94</xdr:col>
      <xdr:colOff>9525</xdr:colOff>
      <xdr:row>32</xdr:row>
      <xdr:rowOff>95250</xdr:rowOff>
    </xdr:from>
    <xdr:ext cx="409575" cy="161925"/>
    <xdr:sp macro="" textlink="">
      <xdr:nvSpPr>
        <xdr:cNvPr id="39" name="AutoShape 4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765607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94</xdr:col>
      <xdr:colOff>9525</xdr:colOff>
      <xdr:row>32</xdr:row>
      <xdr:rowOff>95250</xdr:rowOff>
    </xdr:from>
    <xdr:ext cx="409575" cy="161925"/>
    <xdr:sp macro="" textlink="">
      <xdr:nvSpPr>
        <xdr:cNvPr id="40" name="AutoShape 4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765607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4" name="AutoShape 45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5" name="AutoShape 45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7" name="AutoShape 45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8" name="AutoShape 45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49" name="AutoShape 45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50" name="AutoShape 45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51" name="AutoShape 45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100</xdr:col>
      <xdr:colOff>9525</xdr:colOff>
      <xdr:row>32</xdr:row>
      <xdr:rowOff>95250</xdr:rowOff>
    </xdr:from>
    <xdr:ext cx="409575" cy="161925"/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72399525" y="6705600"/>
          <a:ext cx="4095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2</xdr:row>
      <xdr:rowOff>33337</xdr:rowOff>
    </xdr:from>
    <xdr:to>
      <xdr:col>19</xdr:col>
      <xdr:colOff>561974</xdr:colOff>
      <xdr:row>26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K147127-0_TMT_ISO_ANALY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m"/>
      <sheetName val="Retouche"/>
      <sheetName val="FNC"/>
      <sheetName val="Client"/>
      <sheetName val="Analyse"/>
      <sheetName val="Déro"/>
      <sheetName val="Cavity Check"/>
      <sheetName val="Cotes SCRAP"/>
      <sheetName val="Indice"/>
    </sheetNames>
    <sheetDataSet>
      <sheetData sheetId="0"/>
      <sheetData sheetId="1"/>
      <sheetData sheetId="2"/>
      <sheetData sheetId="3">
        <row r="48">
          <cell r="B48" t="str">
            <v>L1</v>
          </cell>
          <cell r="C48" t="str">
            <v>b1</v>
          </cell>
          <cell r="D48" t="str">
            <v>Ea</v>
          </cell>
          <cell r="E48" t="str">
            <v>Ri</v>
          </cell>
          <cell r="F48" t="str">
            <v>Position cavité intrados rigide max</v>
          </cell>
          <cell r="H48" t="str">
            <v>Epaisseur intrados rigide max</v>
          </cell>
          <cell r="I48" t="str">
            <v>Epaisseur intrados rigide min</v>
          </cell>
          <cell r="J48" t="str">
            <v>Epaisseur intrados souple max</v>
          </cell>
          <cell r="K48" t="str">
            <v>Epaisseur intrados souple min</v>
          </cell>
          <cell r="L48" t="str">
            <v>EI</v>
          </cell>
          <cell r="M48" t="str">
            <v>Re</v>
          </cell>
          <cell r="N48" t="str">
            <v>Position cavité extrados rigide max</v>
          </cell>
          <cell r="P48" t="str">
            <v>Epaisseur extrados rigide max</v>
          </cell>
          <cell r="Q48" t="str">
            <v>Epaisseur extrados rigide min</v>
          </cell>
          <cell r="R48" t="str">
            <v>Epaisseur extrados souple max</v>
          </cell>
          <cell r="S48" t="str">
            <v>Epaisseur extrados souple min</v>
          </cell>
          <cell r="T48" t="str">
            <v>EE</v>
          </cell>
          <cell r="U48" t="str">
            <v>Epaisseur intrados mini R2 (inclus) à RL5 (exclus)</v>
          </cell>
          <cell r="V48" t="str">
            <v>Epaisseur extrados mini R2 (inclus) à RL4 (exclus)</v>
          </cell>
          <cell r="W48" t="str">
            <v>Empilage</v>
          </cell>
          <cell r="X48" t="str">
            <v>Empilage Delta</v>
          </cell>
          <cell r="Y48" t="str">
            <v>BestFit</v>
          </cell>
          <cell r="Z48" t="str">
            <v>Epaisseur intrados
ref</v>
          </cell>
          <cell r="AA48" t="str">
            <v>Epaisseur intrados mini R2 (inclus) à RL3 (exclus)</v>
          </cell>
          <cell r="AB48" t="str">
            <v>Défaut de croissance intrados</v>
          </cell>
          <cell r="AC48" t="str">
            <v>Epaisseur extrados ref</v>
          </cell>
          <cell r="AD48" t="str">
            <v>Epaisseur extrados mini R2 (inclus) à RL3 (exclus)</v>
          </cell>
          <cell r="AE48" t="str">
            <v>Défaut de croissance extrados</v>
          </cell>
        </row>
        <row r="51">
          <cell r="A51" t="str">
            <v>P03</v>
          </cell>
        </row>
        <row r="52">
          <cell r="A52" t="str">
            <v>P02</v>
          </cell>
        </row>
        <row r="53">
          <cell r="A53" t="str">
            <v>P01</v>
          </cell>
        </row>
        <row r="54">
          <cell r="A54" t="str">
            <v>CR03</v>
          </cell>
        </row>
        <row r="55">
          <cell r="A55" t="str">
            <v>CR05</v>
          </cell>
        </row>
        <row r="56">
          <cell r="A56" t="str">
            <v>CR06</v>
          </cell>
        </row>
        <row r="57">
          <cell r="A57" t="str">
            <v>CR08</v>
          </cell>
        </row>
        <row r="58">
          <cell r="A58" t="str">
            <v>CR09</v>
          </cell>
        </row>
        <row r="59">
          <cell r="A59" t="str">
            <v>CR10</v>
          </cell>
        </row>
        <row r="60">
          <cell r="A60" t="str">
            <v>CR15</v>
          </cell>
        </row>
        <row r="61">
          <cell r="A61" t="str">
            <v>CR20</v>
          </cell>
        </row>
        <row r="62">
          <cell r="A62" t="str">
            <v>CR25</v>
          </cell>
        </row>
        <row r="63">
          <cell r="A63" t="str">
            <v>CR30</v>
          </cell>
        </row>
        <row r="64">
          <cell r="A64" t="str">
            <v>CR35</v>
          </cell>
        </row>
        <row r="65">
          <cell r="A65" t="str">
            <v>CR40</v>
          </cell>
        </row>
        <row r="66">
          <cell r="A66" t="str">
            <v>CR45</v>
          </cell>
        </row>
        <row r="67">
          <cell r="A67" t="str">
            <v>CR50</v>
          </cell>
        </row>
        <row r="68">
          <cell r="A68" t="str">
            <v>CR54</v>
          </cell>
        </row>
        <row r="69">
          <cell r="A69" t="str">
            <v>CR58</v>
          </cell>
        </row>
        <row r="70">
          <cell r="A70" t="str">
            <v>CR63</v>
          </cell>
        </row>
        <row r="71">
          <cell r="A71" t="str">
            <v>CR67</v>
          </cell>
        </row>
        <row r="72">
          <cell r="A72" t="str">
            <v>CR71</v>
          </cell>
        </row>
        <row r="73">
          <cell r="A73" t="str">
            <v>CR75</v>
          </cell>
        </row>
        <row r="74">
          <cell r="A74" t="str">
            <v>CR79</v>
          </cell>
        </row>
        <row r="75">
          <cell r="A75" t="str">
            <v>CR84</v>
          </cell>
        </row>
        <row r="76">
          <cell r="A76" t="str">
            <v>CR88</v>
          </cell>
        </row>
        <row r="77">
          <cell r="A77" t="str">
            <v>CR90</v>
          </cell>
        </row>
        <row r="78">
          <cell r="A78" t="str">
            <v>CR91</v>
          </cell>
        </row>
        <row r="79">
          <cell r="A79" t="str">
            <v>CR93</v>
          </cell>
        </row>
        <row r="80">
          <cell r="A80" t="str">
            <v>CR94</v>
          </cell>
        </row>
      </sheetData>
      <sheetData sheetId="4">
        <row r="2">
          <cell r="B2" t="str">
            <v>L1</v>
          </cell>
          <cell r="D2" t="str">
            <v>Tol+</v>
          </cell>
          <cell r="E2" t="str">
            <v>Tol-</v>
          </cell>
          <cell r="G2" t="str">
            <v>Error</v>
          </cell>
        </row>
        <row r="3">
          <cell r="A3" t="str">
            <v>P03</v>
          </cell>
          <cell r="D3" t="str">
            <v/>
          </cell>
          <cell r="E3" t="str">
            <v/>
          </cell>
          <cell r="G3" t="str">
            <v/>
          </cell>
        </row>
        <row r="4">
          <cell r="A4" t="str">
            <v>P02</v>
          </cell>
          <cell r="D4" t="str">
            <v/>
          </cell>
          <cell r="E4" t="str">
            <v/>
          </cell>
          <cell r="G4" t="str">
            <v/>
          </cell>
        </row>
        <row r="5">
          <cell r="A5" t="str">
            <v>P01</v>
          </cell>
          <cell r="D5" t="str">
            <v/>
          </cell>
          <cell r="E5" t="str">
            <v/>
          </cell>
          <cell r="G5" t="str">
            <v/>
          </cell>
        </row>
        <row r="6">
          <cell r="A6" t="str">
            <v>CR03</v>
          </cell>
          <cell r="D6">
            <v>1.5</v>
          </cell>
          <cell r="E6">
            <v>-0.5</v>
          </cell>
          <cell r="G6">
            <v>0.28999999999999998</v>
          </cell>
        </row>
        <row r="7">
          <cell r="A7" t="str">
            <v>CR06</v>
          </cell>
          <cell r="D7">
            <v>1.5</v>
          </cell>
          <cell r="E7">
            <v>-0.5</v>
          </cell>
          <cell r="G7">
            <v>0.18</v>
          </cell>
        </row>
        <row r="8">
          <cell r="A8" t="str">
            <v>CR10</v>
          </cell>
          <cell r="D8">
            <v>1.5</v>
          </cell>
          <cell r="E8">
            <v>-0.5</v>
          </cell>
          <cell r="G8">
            <v>0.08</v>
          </cell>
        </row>
        <row r="9">
          <cell r="A9" t="str">
            <v>CR20</v>
          </cell>
          <cell r="D9">
            <v>1.5</v>
          </cell>
          <cell r="E9">
            <v>-0.5</v>
          </cell>
          <cell r="G9">
            <v>0.06</v>
          </cell>
        </row>
        <row r="10">
          <cell r="A10" t="str">
            <v>CR30</v>
          </cell>
          <cell r="D10">
            <v>1.5</v>
          </cell>
          <cell r="E10">
            <v>-1</v>
          </cell>
          <cell r="G10">
            <v>0.05</v>
          </cell>
        </row>
        <row r="11">
          <cell r="A11" t="str">
            <v>CR35</v>
          </cell>
          <cell r="D11">
            <v>1.5000000000000018</v>
          </cell>
          <cell r="E11">
            <v>-1</v>
          </cell>
          <cell r="G11">
            <v>-0.01</v>
          </cell>
        </row>
        <row r="12">
          <cell r="A12" t="str">
            <v>CR40</v>
          </cell>
          <cell r="D12">
            <v>1.5</v>
          </cell>
          <cell r="E12">
            <v>-1</v>
          </cell>
          <cell r="G12">
            <v>-0.06</v>
          </cell>
        </row>
        <row r="13">
          <cell r="A13" t="str">
            <v>CR45</v>
          </cell>
          <cell r="D13">
            <v>1.5</v>
          </cell>
          <cell r="E13">
            <v>-1</v>
          </cell>
          <cell r="G13">
            <v>0.06</v>
          </cell>
        </row>
        <row r="14">
          <cell r="A14" t="str">
            <v>CR50</v>
          </cell>
          <cell r="D14">
            <v>1.5</v>
          </cell>
          <cell r="E14">
            <v>-1</v>
          </cell>
          <cell r="G14">
            <v>0.22</v>
          </cell>
        </row>
        <row r="15">
          <cell r="A15" t="str">
            <v>CR54</v>
          </cell>
          <cell r="D15">
            <v>1.5</v>
          </cell>
          <cell r="E15">
            <v>-1</v>
          </cell>
          <cell r="G15">
            <v>0.38</v>
          </cell>
        </row>
        <row r="16">
          <cell r="A16" t="str">
            <v>CR58</v>
          </cell>
          <cell r="D16">
            <v>1.5</v>
          </cell>
          <cell r="E16">
            <v>-1</v>
          </cell>
          <cell r="G16">
            <v>0.42</v>
          </cell>
        </row>
        <row r="17">
          <cell r="A17" t="str">
            <v>CR63</v>
          </cell>
          <cell r="D17">
            <v>1.5</v>
          </cell>
          <cell r="E17">
            <v>-1</v>
          </cell>
          <cell r="G17">
            <v>0.57999999999999996</v>
          </cell>
        </row>
        <row r="18">
          <cell r="A18" t="str">
            <v>CR67</v>
          </cell>
          <cell r="D18">
            <v>1.5</v>
          </cell>
          <cell r="E18">
            <v>-1</v>
          </cell>
          <cell r="G18">
            <v>0.65</v>
          </cell>
        </row>
        <row r="19">
          <cell r="A19" t="str">
            <v>CR71</v>
          </cell>
          <cell r="D19">
            <v>1.5</v>
          </cell>
          <cell r="E19">
            <v>-1</v>
          </cell>
          <cell r="G19">
            <v>0.67</v>
          </cell>
        </row>
        <row r="20">
          <cell r="A20" t="str">
            <v>CR75</v>
          </cell>
          <cell r="D20">
            <v>1.5</v>
          </cell>
          <cell r="E20">
            <v>-1</v>
          </cell>
          <cell r="G20">
            <v>0.86</v>
          </cell>
        </row>
        <row r="21">
          <cell r="A21" t="str">
            <v>CR79</v>
          </cell>
          <cell r="D21">
            <v>1.5</v>
          </cell>
          <cell r="E21">
            <v>-1</v>
          </cell>
          <cell r="G21">
            <v>0.85</v>
          </cell>
        </row>
        <row r="22">
          <cell r="A22" t="str">
            <v>CR84</v>
          </cell>
          <cell r="D22">
            <v>1.5</v>
          </cell>
          <cell r="E22">
            <v>-1</v>
          </cell>
          <cell r="G22">
            <v>0.76</v>
          </cell>
        </row>
        <row r="23">
          <cell r="A23" t="str">
            <v>CR88</v>
          </cell>
          <cell r="D23">
            <v>1.1999999999999993</v>
          </cell>
          <cell r="E23">
            <v>-1</v>
          </cell>
          <cell r="G23">
            <v>0.6</v>
          </cell>
        </row>
        <row r="24">
          <cell r="A24" t="str">
            <v>CR90</v>
          </cell>
          <cell r="D24">
            <v>1.1999999999999993</v>
          </cell>
          <cell r="E24">
            <v>-1</v>
          </cell>
          <cell r="G24">
            <v>0.48</v>
          </cell>
        </row>
        <row r="25">
          <cell r="A25" t="str">
            <v>CR93</v>
          </cell>
          <cell r="D25">
            <v>1.1999999999999993</v>
          </cell>
          <cell r="E25">
            <v>-1</v>
          </cell>
          <cell r="G25">
            <v>0.39</v>
          </cell>
        </row>
        <row r="26">
          <cell r="A26" t="str">
            <v>CR94</v>
          </cell>
          <cell r="D26">
            <v>1.1999999999999993</v>
          </cell>
          <cell r="E26">
            <v>-1</v>
          </cell>
          <cell r="G26">
            <v>0.45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DO171"/>
  <sheetViews>
    <sheetView showGridLines="0" tabSelected="1" topLeftCell="A10" zoomScale="80" zoomScaleNormal="80" workbookViewId="0">
      <selection activeCell="A2" sqref="A2"/>
    </sheetView>
  </sheetViews>
  <sheetFormatPr baseColWidth="10" defaultColWidth="11.42578125" defaultRowHeight="11.25" x14ac:dyDescent="0.2"/>
  <cols>
    <col min="1" max="87" width="10.7109375" style="2" customWidth="1"/>
    <col min="88" max="88" width="13.7109375" style="2" customWidth="1"/>
    <col min="89" max="90" width="10.7109375" style="2" customWidth="1"/>
    <col min="91" max="91" width="13.7109375" style="2" customWidth="1"/>
    <col min="92" max="92" width="10.7109375" style="2" customWidth="1"/>
    <col min="93" max="94" width="11.42578125" style="2"/>
    <col min="95" max="95" width="12.7109375" style="2" customWidth="1"/>
    <col min="96" max="97" width="11.42578125" style="2"/>
    <col min="98" max="98" width="12.7109375" style="2" customWidth="1"/>
    <col min="99" max="100" width="11.42578125" style="2"/>
    <col min="101" max="101" width="12.7109375" style="2" customWidth="1"/>
    <col min="102" max="103" width="11.42578125" style="2"/>
    <col min="104" max="104" width="12.7109375" style="2" customWidth="1"/>
    <col min="105" max="111" width="11.42578125" style="2"/>
    <col min="112" max="113" width="13.7109375" style="2" customWidth="1"/>
    <col min="114" max="16384" width="11.42578125" style="2"/>
  </cols>
  <sheetData>
    <row r="1" spans="1:119" ht="11.25" customHeight="1" x14ac:dyDescent="0.2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119" x14ac:dyDescent="0.2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3">
        <v>19</v>
      </c>
      <c r="T2" s="3">
        <v>20</v>
      </c>
      <c r="U2" s="3">
        <v>21</v>
      </c>
      <c r="V2" s="3">
        <v>22</v>
      </c>
      <c r="W2" s="3">
        <v>23</v>
      </c>
      <c r="X2" s="3">
        <v>24</v>
      </c>
      <c r="Y2" s="3">
        <v>25</v>
      </c>
      <c r="Z2" s="3">
        <v>26</v>
      </c>
      <c r="AA2" s="3">
        <v>27</v>
      </c>
      <c r="AB2" s="3">
        <v>28</v>
      </c>
      <c r="AC2" s="3">
        <v>29</v>
      </c>
      <c r="AD2" s="3">
        <v>30</v>
      </c>
      <c r="AE2" s="3">
        <v>31</v>
      </c>
      <c r="AF2" s="3">
        <v>32</v>
      </c>
      <c r="AG2" s="3">
        <v>33</v>
      </c>
      <c r="AH2" s="3">
        <v>34</v>
      </c>
      <c r="AI2" s="3">
        <v>35</v>
      </c>
      <c r="AJ2" s="3">
        <v>36</v>
      </c>
      <c r="AK2" s="3">
        <v>37</v>
      </c>
      <c r="AL2" s="3">
        <v>38</v>
      </c>
      <c r="AM2" s="3">
        <v>39</v>
      </c>
      <c r="AN2" s="3">
        <v>40</v>
      </c>
      <c r="AO2" s="3">
        <v>41</v>
      </c>
      <c r="AP2" s="3">
        <v>42</v>
      </c>
      <c r="AQ2" s="3">
        <v>43</v>
      </c>
      <c r="AR2" s="3">
        <v>44</v>
      </c>
      <c r="AS2" s="3">
        <v>45</v>
      </c>
      <c r="AT2" s="3">
        <v>46</v>
      </c>
      <c r="AU2" s="3">
        <v>47</v>
      </c>
      <c r="AV2" s="3">
        <v>48</v>
      </c>
      <c r="AW2" s="3">
        <v>49</v>
      </c>
      <c r="AX2" s="3">
        <v>50</v>
      </c>
      <c r="AY2" s="3">
        <v>51</v>
      </c>
      <c r="AZ2" s="3">
        <v>52</v>
      </c>
      <c r="BA2" s="3">
        <v>53</v>
      </c>
      <c r="BB2" s="3">
        <v>54</v>
      </c>
      <c r="BC2" s="3">
        <v>55</v>
      </c>
      <c r="BD2" s="3">
        <v>56</v>
      </c>
      <c r="BE2" s="3">
        <v>57</v>
      </c>
      <c r="BF2" s="3">
        <v>58</v>
      </c>
      <c r="BG2" s="3">
        <v>59</v>
      </c>
      <c r="BH2" s="3">
        <v>60</v>
      </c>
      <c r="BI2" s="3">
        <v>61</v>
      </c>
      <c r="BJ2" s="3">
        <v>62</v>
      </c>
      <c r="BK2" s="3">
        <v>63</v>
      </c>
      <c r="BL2" s="3">
        <v>64</v>
      </c>
      <c r="BM2" s="3">
        <v>65</v>
      </c>
      <c r="BN2" s="3">
        <v>66</v>
      </c>
      <c r="BO2" s="3">
        <v>67</v>
      </c>
      <c r="BP2" s="3">
        <v>68</v>
      </c>
      <c r="BQ2" s="3">
        <v>69</v>
      </c>
      <c r="BR2" s="3">
        <v>70</v>
      </c>
      <c r="BS2" s="3">
        <v>71</v>
      </c>
      <c r="BT2" s="3">
        <v>72</v>
      </c>
      <c r="BU2" s="3">
        <v>73</v>
      </c>
      <c r="BV2" s="3">
        <v>74</v>
      </c>
      <c r="BW2" s="3">
        <v>75</v>
      </c>
      <c r="BX2" s="3">
        <v>76</v>
      </c>
      <c r="BY2" s="3">
        <v>77</v>
      </c>
      <c r="BZ2" s="3">
        <v>78</v>
      </c>
      <c r="CA2" s="3">
        <v>79</v>
      </c>
      <c r="CB2" s="3">
        <v>80</v>
      </c>
      <c r="CC2" s="3">
        <v>81</v>
      </c>
      <c r="CD2" s="3">
        <v>82</v>
      </c>
      <c r="CE2" s="3">
        <v>83</v>
      </c>
      <c r="CF2" s="3">
        <v>84</v>
      </c>
      <c r="CG2" s="3">
        <v>85</v>
      </c>
      <c r="CH2" s="3">
        <v>86</v>
      </c>
      <c r="CI2" s="3">
        <v>87</v>
      </c>
      <c r="CJ2" s="3">
        <v>88</v>
      </c>
      <c r="CK2" s="3">
        <v>89</v>
      </c>
      <c r="CL2" s="3">
        <v>90</v>
      </c>
      <c r="CM2" s="3">
        <v>91</v>
      </c>
      <c r="CN2" s="3">
        <v>92</v>
      </c>
      <c r="CO2" s="3">
        <v>93</v>
      </c>
      <c r="CP2" s="3">
        <v>94</v>
      </c>
      <c r="CQ2" s="3">
        <v>95</v>
      </c>
      <c r="CR2" s="3">
        <v>96</v>
      </c>
      <c r="CS2" s="3">
        <v>97</v>
      </c>
      <c r="CT2" s="3">
        <v>98</v>
      </c>
      <c r="CU2" s="3">
        <v>99</v>
      </c>
      <c r="CV2" s="3">
        <v>100</v>
      </c>
      <c r="CW2" s="3">
        <v>101</v>
      </c>
      <c r="CX2" s="3">
        <v>102</v>
      </c>
      <c r="CY2" s="3">
        <v>103</v>
      </c>
      <c r="CZ2" s="3">
        <v>104</v>
      </c>
      <c r="DA2" s="3">
        <v>105</v>
      </c>
      <c r="DB2" s="3">
        <v>106</v>
      </c>
      <c r="DC2" s="3">
        <v>107</v>
      </c>
      <c r="DD2" s="3">
        <v>108</v>
      </c>
      <c r="DE2" s="3">
        <v>109</v>
      </c>
      <c r="DF2" s="3">
        <v>110</v>
      </c>
      <c r="DG2" s="3">
        <v>111</v>
      </c>
      <c r="DH2" s="3">
        <v>112</v>
      </c>
      <c r="DI2" s="3">
        <v>113</v>
      </c>
      <c r="DJ2" s="3">
        <v>114</v>
      </c>
      <c r="DK2" s="3">
        <v>115</v>
      </c>
      <c r="DL2" s="3">
        <v>116</v>
      </c>
      <c r="DM2" s="3">
        <v>117</v>
      </c>
      <c r="DN2" s="3">
        <v>118</v>
      </c>
      <c r="DO2" s="3">
        <v>119</v>
      </c>
    </row>
    <row r="3" spans="1:119" ht="12.75" customHeight="1" x14ac:dyDescent="0.2">
      <c r="A3" s="4" t="s">
        <v>0</v>
      </c>
      <c r="B3" s="5" t="s">
        <v>94</v>
      </c>
      <c r="D3" s="4" t="s">
        <v>1</v>
      </c>
      <c r="E3" s="6" t="s">
        <v>95</v>
      </c>
      <c r="G3" s="7" t="s">
        <v>2</v>
      </c>
      <c r="H3" s="8" t="s">
        <v>96</v>
      </c>
      <c r="I3" s="7"/>
      <c r="J3" s="8"/>
      <c r="K3" s="9" t="s">
        <v>3</v>
      </c>
      <c r="L3" s="8" t="s">
        <v>97</v>
      </c>
      <c r="N3" s="9"/>
      <c r="O3" s="8"/>
      <c r="W3" s="10"/>
      <c r="AV3" s="11"/>
      <c r="AW3" s="11"/>
      <c r="AX3" s="11"/>
      <c r="AY3" s="11"/>
    </row>
    <row r="4" spans="1:119" ht="12.75" customHeight="1" x14ac:dyDescent="0.2">
      <c r="A4" s="4" t="s">
        <v>4</v>
      </c>
      <c r="B4" s="5" t="s">
        <v>98</v>
      </c>
      <c r="D4" s="4" t="s">
        <v>5</v>
      </c>
      <c r="E4" s="6" t="s">
        <v>99</v>
      </c>
      <c r="G4" s="7" t="s">
        <v>6</v>
      </c>
      <c r="H4" s="8" t="s">
        <v>100</v>
      </c>
      <c r="I4" s="7"/>
      <c r="J4" s="8"/>
      <c r="K4" s="9" t="s">
        <v>7</v>
      </c>
      <c r="L4" s="8" t="s">
        <v>101</v>
      </c>
      <c r="N4" s="9"/>
      <c r="O4" s="8"/>
      <c r="W4" s="10"/>
      <c r="AV4" s="11"/>
      <c r="AW4" s="11"/>
      <c r="AX4" s="11"/>
      <c r="AY4" s="11"/>
    </row>
    <row r="5" spans="1:119" x14ac:dyDescent="0.2">
      <c r="A5" s="4" t="s">
        <v>8</v>
      </c>
      <c r="B5" s="5" t="s">
        <v>102</v>
      </c>
      <c r="C5" s="11"/>
      <c r="D5" s="4" t="s">
        <v>9</v>
      </c>
      <c r="E5" s="12" t="s">
        <v>103</v>
      </c>
      <c r="F5" s="11"/>
      <c r="G5" s="7" t="s">
        <v>10</v>
      </c>
      <c r="H5" s="13" t="s">
        <v>104</v>
      </c>
      <c r="I5" s="7"/>
      <c r="J5" s="13"/>
      <c r="K5" s="9" t="s">
        <v>11</v>
      </c>
      <c r="L5" s="13" t="s">
        <v>105</v>
      </c>
      <c r="N5" s="9"/>
      <c r="O5" s="13"/>
      <c r="P5" s="11"/>
      <c r="Q5" s="11"/>
      <c r="R5" s="11"/>
      <c r="S5" s="11"/>
      <c r="T5" s="11"/>
      <c r="U5" s="11"/>
      <c r="V5" s="11"/>
      <c r="W5" s="11"/>
      <c r="AV5" s="11"/>
      <c r="AW5" s="11"/>
      <c r="AX5" s="11"/>
      <c r="AY5" s="11"/>
      <c r="CG5" s="14"/>
      <c r="CH5" s="14"/>
      <c r="CI5" s="14"/>
      <c r="CJ5" s="14"/>
    </row>
    <row r="6" spans="1:119" x14ac:dyDescent="0.2">
      <c r="A6" s="4"/>
      <c r="B6" s="15"/>
      <c r="C6" s="11"/>
      <c r="D6" s="4" t="s">
        <v>12</v>
      </c>
      <c r="E6" s="12" t="s">
        <v>106</v>
      </c>
      <c r="F6" s="11"/>
      <c r="G6" s="7" t="s">
        <v>13</v>
      </c>
      <c r="H6" s="13" t="s">
        <v>107</v>
      </c>
      <c r="I6" s="7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CG6" s="14"/>
      <c r="CH6" s="14"/>
      <c r="CI6" s="14"/>
      <c r="CJ6" s="14"/>
      <c r="CK6" s="16"/>
      <c r="CL6" s="16"/>
    </row>
    <row r="7" spans="1:119" ht="30" customHeight="1" x14ac:dyDescent="0.2">
      <c r="A7" s="4"/>
      <c r="B7" s="15"/>
      <c r="C7" s="11"/>
      <c r="D7" s="11"/>
      <c r="E7" s="11"/>
      <c r="F7" s="11"/>
      <c r="G7" s="11"/>
      <c r="H7" s="7"/>
      <c r="I7" s="7"/>
      <c r="J7" s="1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7"/>
      <c r="AC7" s="11"/>
      <c r="AD7" s="11"/>
      <c r="AE7" s="11"/>
      <c r="AP7" s="18" t="s">
        <v>14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</row>
    <row r="8" spans="1:119" ht="60" customHeight="1" x14ac:dyDescent="0.2">
      <c r="A8" s="19"/>
      <c r="B8" s="20" t="s">
        <v>108</v>
      </c>
      <c r="C8" s="20" t="s">
        <v>109</v>
      </c>
      <c r="D8" s="20" t="s">
        <v>110</v>
      </c>
      <c r="E8" s="21" t="s">
        <v>111</v>
      </c>
      <c r="F8" s="22" t="s">
        <v>112</v>
      </c>
      <c r="G8" s="23"/>
      <c r="H8" s="24" t="s">
        <v>113</v>
      </c>
      <c r="I8" s="24" t="s">
        <v>114</v>
      </c>
      <c r="J8" s="24" t="s">
        <v>82</v>
      </c>
      <c r="K8" s="24" t="s">
        <v>83</v>
      </c>
      <c r="L8" s="24" t="s">
        <v>115</v>
      </c>
      <c r="M8" s="25" t="s">
        <v>116</v>
      </c>
      <c r="N8" s="26" t="s">
        <v>117</v>
      </c>
      <c r="O8" s="27"/>
      <c r="P8" s="28" t="s">
        <v>118</v>
      </c>
      <c r="Q8" s="28" t="s">
        <v>119</v>
      </c>
      <c r="R8" s="28" t="s">
        <v>84</v>
      </c>
      <c r="S8" s="28" t="s">
        <v>85</v>
      </c>
      <c r="T8" s="28" t="s">
        <v>120</v>
      </c>
      <c r="U8" s="29" t="s">
        <v>121</v>
      </c>
      <c r="V8" s="30" t="s">
        <v>122</v>
      </c>
      <c r="W8" s="31" t="s">
        <v>123</v>
      </c>
      <c r="X8" s="32" t="s">
        <v>124</v>
      </c>
      <c r="Y8" s="31" t="s">
        <v>86</v>
      </c>
      <c r="Z8" s="33" t="s">
        <v>125</v>
      </c>
      <c r="AA8" s="34" t="s">
        <v>126</v>
      </c>
      <c r="AB8" s="33" t="s">
        <v>127</v>
      </c>
      <c r="AC8" s="33" t="s">
        <v>128</v>
      </c>
      <c r="AD8" s="34" t="s">
        <v>129</v>
      </c>
      <c r="AE8" s="33" t="s">
        <v>130</v>
      </c>
      <c r="AJ8" s="35" t="s">
        <v>131</v>
      </c>
      <c r="AK8" s="36" t="s">
        <v>132</v>
      </c>
      <c r="AL8" s="37" t="s">
        <v>101</v>
      </c>
      <c r="AM8" s="35" t="s">
        <v>133</v>
      </c>
      <c r="AN8" s="36" t="s">
        <v>134</v>
      </c>
      <c r="AP8" s="38" t="s">
        <v>135</v>
      </c>
      <c r="AR8" s="38" t="s">
        <v>136</v>
      </c>
      <c r="AS8" s="38" t="s">
        <v>137</v>
      </c>
      <c r="AU8" s="38" t="s">
        <v>138</v>
      </c>
      <c r="AV8" s="38" t="s">
        <v>139</v>
      </c>
      <c r="AX8" s="38" t="s">
        <v>140</v>
      </c>
      <c r="AY8" s="38" t="s">
        <v>141</v>
      </c>
      <c r="AZ8" s="38" t="s">
        <v>142</v>
      </c>
      <c r="BB8" s="38" t="s">
        <v>143</v>
      </c>
      <c r="BC8" s="38" t="s">
        <v>144</v>
      </c>
      <c r="BE8" s="38" t="s">
        <v>145</v>
      </c>
      <c r="BF8" s="38" t="s">
        <v>144</v>
      </c>
      <c r="BH8" s="38" t="s">
        <v>146</v>
      </c>
      <c r="BI8" s="38" t="s">
        <v>144</v>
      </c>
      <c r="BK8" s="38" t="s">
        <v>147</v>
      </c>
      <c r="BL8" s="38" t="s">
        <v>144</v>
      </c>
      <c r="BN8" s="38" t="s">
        <v>148</v>
      </c>
      <c r="BP8" s="38" t="s">
        <v>149</v>
      </c>
      <c r="BQ8" s="38" t="s">
        <v>144</v>
      </c>
      <c r="BR8" s="39"/>
      <c r="BS8" s="38" t="s">
        <v>150</v>
      </c>
      <c r="BT8" s="39"/>
      <c r="BU8" s="38" t="s">
        <v>151</v>
      </c>
      <c r="BV8" s="38" t="s">
        <v>144</v>
      </c>
      <c r="BW8" s="39"/>
      <c r="BX8" s="38" t="s">
        <v>152</v>
      </c>
      <c r="BY8" s="38" t="s">
        <v>144</v>
      </c>
      <c r="BZ8" s="39"/>
      <c r="CA8" s="38" t="s">
        <v>153</v>
      </c>
      <c r="CB8" s="39"/>
      <c r="CC8" s="38" t="s">
        <v>154</v>
      </c>
      <c r="CD8" s="39"/>
      <c r="CE8" s="38" t="s">
        <v>155</v>
      </c>
      <c r="CF8" s="38" t="s">
        <v>156</v>
      </c>
      <c r="CG8" s="40"/>
      <c r="CH8" s="41" t="s">
        <v>15</v>
      </c>
      <c r="CI8" s="40"/>
      <c r="CJ8" s="42" t="s">
        <v>157</v>
      </c>
      <c r="CK8" s="43" t="s">
        <v>23</v>
      </c>
      <c r="CM8" s="42" t="s">
        <v>158</v>
      </c>
      <c r="CN8" s="43" t="s">
        <v>23</v>
      </c>
      <c r="CP8" s="38" t="s">
        <v>159</v>
      </c>
      <c r="CQ8" s="38" t="s">
        <v>160</v>
      </c>
      <c r="CR8" s="38" t="s">
        <v>144</v>
      </c>
      <c r="CS8" s="38" t="s">
        <v>161</v>
      </c>
      <c r="CT8" s="38" t="s">
        <v>162</v>
      </c>
      <c r="CV8" s="38" t="s">
        <v>163</v>
      </c>
      <c r="CW8" s="38" t="s">
        <v>160</v>
      </c>
      <c r="CX8" s="38" t="s">
        <v>144</v>
      </c>
      <c r="CY8" s="38" t="s">
        <v>164</v>
      </c>
      <c r="CZ8" s="38" t="s">
        <v>162</v>
      </c>
      <c r="DB8" s="42" t="s">
        <v>16</v>
      </c>
      <c r="DC8" s="44" t="s">
        <v>17</v>
      </c>
      <c r="DE8" s="42" t="s">
        <v>18</v>
      </c>
      <c r="DF8" s="41" t="s">
        <v>19</v>
      </c>
      <c r="DH8" s="42" t="s">
        <v>20</v>
      </c>
      <c r="DI8" s="41" t="s">
        <v>21</v>
      </c>
      <c r="DK8" s="42" t="s">
        <v>22</v>
      </c>
      <c r="DL8" s="41" t="s">
        <v>23</v>
      </c>
      <c r="DN8" s="42" t="s">
        <v>24</v>
      </c>
      <c r="DO8" s="41" t="s">
        <v>23</v>
      </c>
    </row>
    <row r="9" spans="1:119" s="16" customFormat="1" ht="15" customHeight="1" x14ac:dyDescent="0.2">
      <c r="A9" s="45" t="s">
        <v>25</v>
      </c>
      <c r="B9" s="46">
        <v>1</v>
      </c>
      <c r="C9" s="47" t="s">
        <v>26</v>
      </c>
      <c r="D9" s="47">
        <v>0.15</v>
      </c>
      <c r="E9" s="47">
        <v>0.7</v>
      </c>
      <c r="F9" s="48">
        <v>1</v>
      </c>
      <c r="G9" s="49"/>
      <c r="H9" s="50">
        <v>0.3</v>
      </c>
      <c r="I9" s="50">
        <v>0.3</v>
      </c>
      <c r="J9" s="51" t="s">
        <v>26</v>
      </c>
      <c r="K9" s="51" t="s">
        <v>26</v>
      </c>
      <c r="L9" s="47">
        <v>0.15</v>
      </c>
      <c r="M9" s="47">
        <v>0.7</v>
      </c>
      <c r="N9" s="48">
        <v>1</v>
      </c>
      <c r="O9" s="49"/>
      <c r="P9" s="50">
        <v>0.3</v>
      </c>
      <c r="Q9" s="50">
        <v>0.3</v>
      </c>
      <c r="R9" s="47" t="s">
        <v>26</v>
      </c>
      <c r="S9" s="47" t="s">
        <v>26</v>
      </c>
      <c r="T9" s="47">
        <v>0.15</v>
      </c>
      <c r="U9" s="47" t="s">
        <v>26</v>
      </c>
      <c r="V9" s="47" t="s">
        <v>26</v>
      </c>
      <c r="W9" s="47" t="s">
        <v>26</v>
      </c>
      <c r="X9" s="47" t="s">
        <v>26</v>
      </c>
      <c r="Y9" s="52" t="s">
        <v>26</v>
      </c>
      <c r="Z9" s="53" t="s">
        <v>26</v>
      </c>
      <c r="AA9" s="54" t="s">
        <v>26</v>
      </c>
      <c r="AB9" s="54" t="s">
        <v>26</v>
      </c>
      <c r="AC9" s="54" t="s">
        <v>26</v>
      </c>
      <c r="AD9" s="54" t="s">
        <v>26</v>
      </c>
      <c r="AE9" s="55" t="s">
        <v>26</v>
      </c>
      <c r="AG9" s="2"/>
      <c r="AH9" s="2"/>
      <c r="AJ9" s="56"/>
      <c r="AK9" s="56"/>
      <c r="AM9" s="56"/>
      <c r="AN9" s="56"/>
      <c r="AP9" s="38"/>
      <c r="AR9" s="38"/>
      <c r="AS9" s="38"/>
      <c r="AU9" s="38"/>
      <c r="AV9" s="38"/>
      <c r="AX9" s="38"/>
      <c r="AY9" s="38"/>
      <c r="AZ9" s="38"/>
      <c r="BB9" s="38"/>
      <c r="BC9" s="38"/>
      <c r="BD9" s="57"/>
      <c r="BE9" s="38"/>
      <c r="BF9" s="38"/>
      <c r="BG9" s="57"/>
      <c r="BH9" s="38"/>
      <c r="BI9" s="38"/>
      <c r="BJ9" s="57"/>
      <c r="BK9" s="38"/>
      <c r="BL9" s="38"/>
      <c r="BM9" s="57"/>
      <c r="BN9" s="38"/>
      <c r="BP9" s="38"/>
      <c r="BQ9" s="38"/>
      <c r="BR9" s="39"/>
      <c r="BS9" s="38"/>
      <c r="BT9" s="39"/>
      <c r="BU9" s="38"/>
      <c r="BV9" s="38"/>
      <c r="BW9" s="39"/>
      <c r="BX9" s="38"/>
      <c r="BY9" s="38"/>
      <c r="BZ9" s="39"/>
      <c r="CA9" s="38"/>
      <c r="CB9" s="39"/>
      <c r="CC9" s="38"/>
      <c r="CD9" s="39"/>
      <c r="CE9" s="38"/>
      <c r="CF9" s="38"/>
      <c r="CG9" s="40"/>
      <c r="CH9" s="41"/>
      <c r="CI9" s="40"/>
      <c r="CJ9" s="42"/>
      <c r="CK9" s="58"/>
      <c r="CM9" s="42"/>
      <c r="CN9" s="58"/>
      <c r="CP9" s="38"/>
      <c r="CQ9" s="38"/>
      <c r="CR9" s="38"/>
      <c r="CS9" s="38"/>
      <c r="CT9" s="38"/>
      <c r="CU9" s="57"/>
      <c r="CV9" s="38"/>
      <c r="CW9" s="38"/>
      <c r="CX9" s="38"/>
      <c r="CY9" s="38"/>
      <c r="CZ9" s="38"/>
      <c r="DB9" s="42"/>
      <c r="DC9" s="44"/>
      <c r="DE9" s="42"/>
      <c r="DF9" s="41"/>
      <c r="DH9" s="42"/>
      <c r="DI9" s="41"/>
      <c r="DK9" s="42"/>
      <c r="DL9" s="41"/>
      <c r="DN9" s="42"/>
      <c r="DO9" s="41"/>
    </row>
    <row r="10" spans="1:119" s="16" customFormat="1" ht="15" customHeight="1" x14ac:dyDescent="0.2">
      <c r="A10" s="45" t="s">
        <v>27</v>
      </c>
      <c r="B10" s="59">
        <v>-0.5</v>
      </c>
      <c r="C10" s="60" t="s">
        <v>26</v>
      </c>
      <c r="D10" s="60">
        <v>-0.25</v>
      </c>
      <c r="E10" s="60">
        <v>-0.7</v>
      </c>
      <c r="F10" s="61">
        <v>0</v>
      </c>
      <c r="G10" s="62"/>
      <c r="H10" s="63">
        <v>-0.2</v>
      </c>
      <c r="I10" s="63">
        <v>-0.2</v>
      </c>
      <c r="J10" s="64" t="s">
        <v>26</v>
      </c>
      <c r="K10" s="64" t="s">
        <v>26</v>
      </c>
      <c r="L10" s="60">
        <v>-0.1</v>
      </c>
      <c r="M10" s="60">
        <v>-0.7</v>
      </c>
      <c r="N10" s="65">
        <v>0</v>
      </c>
      <c r="O10" s="66"/>
      <c r="P10" s="63">
        <v>-0.2</v>
      </c>
      <c r="Q10" s="63">
        <v>-0.2</v>
      </c>
      <c r="R10" s="60" t="s">
        <v>26</v>
      </c>
      <c r="S10" s="60" t="s">
        <v>26</v>
      </c>
      <c r="T10" s="60">
        <v>-0.1</v>
      </c>
      <c r="U10" s="60" t="s">
        <v>26</v>
      </c>
      <c r="V10" s="60" t="s">
        <v>26</v>
      </c>
      <c r="W10" s="60" t="s">
        <v>26</v>
      </c>
      <c r="X10" s="60" t="s">
        <v>26</v>
      </c>
      <c r="Y10" s="67" t="s">
        <v>26</v>
      </c>
      <c r="Z10" s="68" t="s">
        <v>26</v>
      </c>
      <c r="AA10" s="69" t="s">
        <v>26</v>
      </c>
      <c r="AB10" s="69" t="s">
        <v>26</v>
      </c>
      <c r="AC10" s="69" t="s">
        <v>26</v>
      </c>
      <c r="AD10" s="69" t="s">
        <v>26</v>
      </c>
      <c r="AE10" s="70" t="s">
        <v>26</v>
      </c>
      <c r="AG10" s="2"/>
      <c r="AH10" s="2"/>
      <c r="AJ10" s="71"/>
      <c r="AK10" s="71"/>
      <c r="AM10" s="71"/>
      <c r="AN10" s="71"/>
      <c r="AP10" s="43"/>
      <c r="AR10" s="43"/>
      <c r="AS10" s="43"/>
      <c r="AU10" s="43"/>
      <c r="AV10" s="43"/>
      <c r="AX10" s="43"/>
      <c r="AY10" s="43"/>
      <c r="AZ10" s="43"/>
      <c r="BB10" s="43"/>
      <c r="BC10" s="43"/>
      <c r="BD10" s="57"/>
      <c r="BE10" s="43"/>
      <c r="BF10" s="43"/>
      <c r="BG10" s="57"/>
      <c r="BH10" s="43"/>
      <c r="BI10" s="43"/>
      <c r="BJ10" s="57"/>
      <c r="BK10" s="43"/>
      <c r="BL10" s="43"/>
      <c r="BM10" s="57"/>
      <c r="BN10" s="43"/>
      <c r="BP10" s="43"/>
      <c r="BQ10" s="43"/>
      <c r="BR10" s="39"/>
      <c r="BS10" s="43"/>
      <c r="BT10" s="39"/>
      <c r="BU10" s="43"/>
      <c r="BV10" s="43"/>
      <c r="BW10" s="39"/>
      <c r="BX10" s="43"/>
      <c r="BY10" s="43"/>
      <c r="BZ10" s="39"/>
      <c r="CA10" s="43"/>
      <c r="CB10" s="39"/>
      <c r="CC10" s="43"/>
      <c r="CD10" s="39"/>
      <c r="CE10" s="43"/>
      <c r="CF10" s="43"/>
      <c r="CG10" s="40"/>
      <c r="CH10" s="72"/>
      <c r="CI10" s="40"/>
      <c r="CJ10" s="73"/>
      <c r="CK10" s="58"/>
      <c r="CM10" s="73"/>
      <c r="CN10" s="58"/>
      <c r="CP10" s="43"/>
      <c r="CQ10" s="43"/>
      <c r="CR10" s="43"/>
      <c r="CS10" s="43"/>
      <c r="CT10" s="43"/>
      <c r="CU10" s="57"/>
      <c r="CV10" s="43"/>
      <c r="CW10" s="43"/>
      <c r="CX10" s="43"/>
      <c r="CY10" s="43"/>
      <c r="CZ10" s="43"/>
      <c r="DB10" s="73"/>
      <c r="DC10" s="74"/>
      <c r="DE10" s="73"/>
      <c r="DF10" s="72"/>
      <c r="DH10" s="73"/>
      <c r="DI10" s="72"/>
      <c r="DK10" s="73"/>
      <c r="DL10" s="72"/>
      <c r="DN10" s="73"/>
      <c r="DO10" s="72"/>
    </row>
    <row r="11" spans="1:119" s="57" customFormat="1" ht="15" customHeight="1" x14ac:dyDescent="0.2">
      <c r="A11" s="75" t="s">
        <v>28</v>
      </c>
      <c r="B11" s="76"/>
      <c r="C11" s="77"/>
      <c r="D11" s="77"/>
      <c r="E11" s="77"/>
      <c r="F11" s="78">
        <v>-0.40600000000000003</v>
      </c>
      <c r="G11" s="79"/>
      <c r="H11" s="80">
        <v>0.15</v>
      </c>
      <c r="I11" s="81">
        <v>0.05</v>
      </c>
      <c r="J11" s="77"/>
      <c r="K11" s="77"/>
      <c r="L11" s="77"/>
      <c r="M11" s="82"/>
      <c r="N11" s="78">
        <v>-0.222</v>
      </c>
      <c r="O11" s="79"/>
      <c r="P11" s="80">
        <v>-0.04</v>
      </c>
      <c r="Q11" s="81">
        <v>-0.15</v>
      </c>
      <c r="R11" s="77"/>
      <c r="S11" s="77"/>
      <c r="T11" s="77"/>
      <c r="U11" s="83"/>
      <c r="V11" s="83"/>
      <c r="W11" s="83"/>
      <c r="X11" s="83"/>
      <c r="Y11" s="77"/>
      <c r="Z11" s="84"/>
      <c r="AA11" s="84"/>
      <c r="AB11" s="84"/>
      <c r="AC11" s="84"/>
      <c r="AD11" s="84"/>
      <c r="AE11" s="84"/>
      <c r="AG11" s="2"/>
      <c r="AH11" s="2"/>
      <c r="AJ11" s="85"/>
      <c r="AK11" s="85"/>
      <c r="AM11" s="85"/>
      <c r="AN11" s="85"/>
      <c r="AP11" s="86">
        <v>-9.9999999999999992E-2</v>
      </c>
      <c r="AQ11" s="57" t="s">
        <v>101</v>
      </c>
      <c r="AR11" s="87">
        <v>50</v>
      </c>
      <c r="AS11" s="87">
        <v>50</v>
      </c>
      <c r="AT11" s="57" t="s">
        <v>101</v>
      </c>
      <c r="AU11" s="87">
        <v>50</v>
      </c>
      <c r="AV11" s="87">
        <v>50</v>
      </c>
      <c r="AW11" s="57" t="s">
        <v>101</v>
      </c>
      <c r="AX11" s="87" t="s">
        <v>101</v>
      </c>
      <c r="AY11" s="87" t="s">
        <v>101</v>
      </c>
      <c r="AZ11" s="87">
        <v>0</v>
      </c>
      <c r="BA11" s="57" t="s">
        <v>101</v>
      </c>
      <c r="BB11" s="88" t="s">
        <v>101</v>
      </c>
      <c r="BC11" s="88" t="s">
        <v>101</v>
      </c>
      <c r="BE11" s="88" t="s">
        <v>101</v>
      </c>
      <c r="BF11" s="88" t="s">
        <v>101</v>
      </c>
      <c r="BH11" s="88" t="s">
        <v>101</v>
      </c>
      <c r="BI11" s="88" t="s">
        <v>101</v>
      </c>
      <c r="BK11" s="88" t="s">
        <v>101</v>
      </c>
      <c r="BL11" s="88" t="s">
        <v>101</v>
      </c>
      <c r="BN11" s="89">
        <v>0.56130769230769206</v>
      </c>
      <c r="BP11" s="90" t="s">
        <v>101</v>
      </c>
      <c r="BQ11" s="91">
        <v>0</v>
      </c>
      <c r="BS11" s="87"/>
      <c r="BU11" s="88"/>
      <c r="BV11" s="88"/>
      <c r="BX11" s="88"/>
      <c r="BY11" s="88"/>
      <c r="CA11" s="87"/>
      <c r="CC11" s="88"/>
      <c r="CE11" s="88" t="s">
        <v>101</v>
      </c>
      <c r="CF11" s="88" t="s">
        <v>101</v>
      </c>
      <c r="CH11" s="87"/>
      <c r="CJ11" s="92" t="s">
        <v>101</v>
      </c>
      <c r="CK11" s="93">
        <v>0</v>
      </c>
      <c r="CM11" s="92" t="s">
        <v>101</v>
      </c>
      <c r="CN11" s="93">
        <v>0</v>
      </c>
      <c r="CP11" s="88" t="s">
        <v>101</v>
      </c>
      <c r="CQ11" s="88" t="s">
        <v>101</v>
      </c>
      <c r="CR11" s="94">
        <v>0</v>
      </c>
      <c r="CS11" s="94">
        <v>0</v>
      </c>
      <c r="CT11" s="94" t="s">
        <v>165</v>
      </c>
      <c r="CV11" s="88" t="s">
        <v>101</v>
      </c>
      <c r="CW11" s="88" t="s">
        <v>101</v>
      </c>
      <c r="CX11" s="94">
        <v>0</v>
      </c>
      <c r="CY11" s="94">
        <v>0</v>
      </c>
      <c r="CZ11" s="94" t="s">
        <v>165</v>
      </c>
      <c r="DB11" s="95"/>
      <c r="DC11" s="95"/>
      <c r="DE11" s="95"/>
      <c r="DF11" s="95"/>
      <c r="DH11" s="95"/>
      <c r="DI11" s="95"/>
      <c r="DK11" s="96"/>
      <c r="DL11" s="97"/>
      <c r="DN11" s="96"/>
      <c r="DO11" s="96"/>
    </row>
    <row r="12" spans="1:119" s="57" customFormat="1" ht="15" customHeight="1" x14ac:dyDescent="0.2">
      <c r="A12" s="98" t="s">
        <v>29</v>
      </c>
      <c r="B12" s="76"/>
      <c r="C12" s="77"/>
      <c r="D12" s="77"/>
      <c r="E12" s="77"/>
      <c r="F12" s="99">
        <v>-0.46600000000000003</v>
      </c>
      <c r="G12" s="100"/>
      <c r="H12" s="101">
        <v>0.16</v>
      </c>
      <c r="I12" s="102">
        <v>7.0000000000000007E-2</v>
      </c>
      <c r="J12" s="77"/>
      <c r="K12" s="77"/>
      <c r="L12" s="77"/>
      <c r="M12" s="82"/>
      <c r="N12" s="99">
        <v>0.24399999999999999</v>
      </c>
      <c r="O12" s="100"/>
      <c r="P12" s="101">
        <v>0.09</v>
      </c>
      <c r="Q12" s="102">
        <v>0.03</v>
      </c>
      <c r="R12" s="77"/>
      <c r="S12" s="77"/>
      <c r="T12" s="77"/>
      <c r="U12" s="77"/>
      <c r="V12" s="77"/>
      <c r="W12" s="77"/>
      <c r="X12" s="77"/>
      <c r="Y12" s="77"/>
      <c r="Z12" s="103"/>
      <c r="AA12" s="103"/>
      <c r="AB12" s="103"/>
      <c r="AC12" s="103"/>
      <c r="AD12" s="103"/>
      <c r="AE12" s="103"/>
      <c r="AG12" s="2"/>
      <c r="AH12" s="2"/>
      <c r="AJ12" s="85"/>
      <c r="AK12" s="85"/>
      <c r="AM12" s="85"/>
      <c r="AN12" s="85"/>
      <c r="AP12" s="104">
        <v>0.1</v>
      </c>
      <c r="AQ12" s="57" t="s">
        <v>101</v>
      </c>
      <c r="AR12" s="104">
        <v>50</v>
      </c>
      <c r="AS12" s="104">
        <v>50</v>
      </c>
      <c r="AT12" s="57" t="s">
        <v>101</v>
      </c>
      <c r="AU12" s="104">
        <v>50</v>
      </c>
      <c r="AV12" s="104">
        <v>50</v>
      </c>
      <c r="AW12" s="57" t="s">
        <v>101</v>
      </c>
      <c r="AX12" s="104" t="s">
        <v>101</v>
      </c>
      <c r="AY12" s="104" t="s">
        <v>101</v>
      </c>
      <c r="AZ12" s="104">
        <v>0</v>
      </c>
      <c r="BA12" s="57" t="s">
        <v>101</v>
      </c>
      <c r="BB12" s="105" t="s">
        <v>101</v>
      </c>
      <c r="BC12" s="105" t="s">
        <v>101</v>
      </c>
      <c r="BE12" s="105" t="s">
        <v>101</v>
      </c>
      <c r="BF12" s="105" t="s">
        <v>101</v>
      </c>
      <c r="BH12" s="105" t="s">
        <v>101</v>
      </c>
      <c r="BI12" s="105" t="s">
        <v>101</v>
      </c>
      <c r="BK12" s="105" t="s">
        <v>101</v>
      </c>
      <c r="BL12" s="105" t="s">
        <v>101</v>
      </c>
      <c r="BN12" s="106"/>
      <c r="BP12" s="107" t="s">
        <v>101</v>
      </c>
      <c r="BQ12" s="108"/>
      <c r="BS12" s="109"/>
      <c r="BU12" s="105"/>
      <c r="BV12" s="105"/>
      <c r="BX12" s="105"/>
      <c r="BY12" s="105"/>
      <c r="CA12" s="109"/>
      <c r="CC12" s="105"/>
      <c r="CE12" s="105" t="s">
        <v>101</v>
      </c>
      <c r="CF12" s="105" t="s">
        <v>101</v>
      </c>
      <c r="CH12" s="109"/>
      <c r="CJ12" s="92" t="s">
        <v>101</v>
      </c>
      <c r="CK12" s="93"/>
      <c r="CM12" s="92" t="s">
        <v>101</v>
      </c>
      <c r="CN12" s="93"/>
      <c r="CP12" s="105" t="s">
        <v>101</v>
      </c>
      <c r="CQ12" s="105" t="s">
        <v>101</v>
      </c>
      <c r="CR12" s="110"/>
      <c r="CS12" s="110"/>
      <c r="CT12" s="110"/>
      <c r="CV12" s="105" t="s">
        <v>101</v>
      </c>
      <c r="CW12" s="105" t="s">
        <v>101</v>
      </c>
      <c r="CX12" s="110"/>
      <c r="CY12" s="110"/>
      <c r="CZ12" s="110"/>
      <c r="DB12" s="111"/>
      <c r="DC12" s="111"/>
      <c r="DE12" s="111"/>
      <c r="DF12" s="111"/>
      <c r="DH12" s="111"/>
      <c r="DI12" s="111"/>
      <c r="DK12" s="112"/>
      <c r="DL12" s="113"/>
      <c r="DN12" s="112"/>
      <c r="DO12" s="112"/>
    </row>
    <row r="13" spans="1:119" s="57" customFormat="1" ht="15" customHeight="1" x14ac:dyDescent="0.2">
      <c r="A13" s="114" t="s">
        <v>30</v>
      </c>
      <c r="B13" s="76"/>
      <c r="C13" s="77"/>
      <c r="D13" s="77"/>
      <c r="E13" s="77"/>
      <c r="F13" s="115">
        <v>0.63</v>
      </c>
      <c r="G13" s="116"/>
      <c r="H13" s="117">
        <v>0.24</v>
      </c>
      <c r="I13" s="118">
        <v>0.08</v>
      </c>
      <c r="J13" s="119"/>
      <c r="K13" s="77"/>
      <c r="L13" s="77"/>
      <c r="M13" s="82"/>
      <c r="N13" s="115">
        <v>0.59</v>
      </c>
      <c r="O13" s="116"/>
      <c r="P13" s="117">
        <v>0.23</v>
      </c>
      <c r="Q13" s="118">
        <v>0.02</v>
      </c>
      <c r="R13" s="119"/>
      <c r="S13" s="119"/>
      <c r="T13" s="119"/>
      <c r="U13" s="77"/>
      <c r="V13" s="77"/>
      <c r="W13" s="119"/>
      <c r="X13" s="77"/>
      <c r="Y13" s="77"/>
      <c r="Z13" s="103"/>
      <c r="AA13" s="120"/>
      <c r="AB13" s="120"/>
      <c r="AC13" s="120"/>
      <c r="AD13" s="120"/>
      <c r="AE13" s="120"/>
      <c r="AG13" s="2"/>
      <c r="AH13" s="2"/>
      <c r="AJ13" s="121"/>
      <c r="AK13" s="121"/>
      <c r="AM13" s="121"/>
      <c r="AN13" s="85"/>
      <c r="AP13" s="122">
        <v>0.1</v>
      </c>
      <c r="AQ13" s="57" t="s">
        <v>101</v>
      </c>
      <c r="AR13" s="122">
        <v>50</v>
      </c>
      <c r="AS13" s="122">
        <v>50</v>
      </c>
      <c r="AT13" s="57" t="s">
        <v>101</v>
      </c>
      <c r="AU13" s="122">
        <v>50</v>
      </c>
      <c r="AV13" s="122">
        <v>50</v>
      </c>
      <c r="AW13" s="57" t="s">
        <v>101</v>
      </c>
      <c r="AX13" s="122" t="s">
        <v>101</v>
      </c>
      <c r="AY13" s="122" t="s">
        <v>101</v>
      </c>
      <c r="AZ13" s="122">
        <v>0</v>
      </c>
      <c r="BA13" s="57" t="s">
        <v>101</v>
      </c>
      <c r="BB13" s="123" t="s">
        <v>101</v>
      </c>
      <c r="BC13" s="123" t="s">
        <v>101</v>
      </c>
      <c r="BE13" s="123" t="s">
        <v>101</v>
      </c>
      <c r="BF13" s="123" t="s">
        <v>101</v>
      </c>
      <c r="BH13" s="123" t="s">
        <v>101</v>
      </c>
      <c r="BI13" s="123" t="s">
        <v>101</v>
      </c>
      <c r="BK13" s="123" t="s">
        <v>101</v>
      </c>
      <c r="BL13" s="123" t="s">
        <v>101</v>
      </c>
      <c r="BN13" s="106"/>
      <c r="BP13" s="124" t="s">
        <v>101</v>
      </c>
      <c r="BQ13" s="108"/>
      <c r="BS13" s="109"/>
      <c r="BU13" s="123"/>
      <c r="BV13" s="123"/>
      <c r="BX13" s="123"/>
      <c r="BY13" s="123"/>
      <c r="CA13" s="125"/>
      <c r="CC13" s="123"/>
      <c r="CE13" s="123" t="s">
        <v>101</v>
      </c>
      <c r="CF13" s="123" t="s">
        <v>101</v>
      </c>
      <c r="CH13" s="109"/>
      <c r="CJ13" s="92" t="s">
        <v>101</v>
      </c>
      <c r="CK13" s="93"/>
      <c r="CM13" s="92" t="s">
        <v>101</v>
      </c>
      <c r="CN13" s="93"/>
      <c r="CP13" s="123" t="s">
        <v>101</v>
      </c>
      <c r="CQ13" s="123" t="s">
        <v>101</v>
      </c>
      <c r="CR13" s="110"/>
      <c r="CS13" s="110"/>
      <c r="CT13" s="110"/>
      <c r="CV13" s="123" t="s">
        <v>101</v>
      </c>
      <c r="CW13" s="123" t="s">
        <v>101</v>
      </c>
      <c r="CX13" s="110"/>
      <c r="CY13" s="110"/>
      <c r="CZ13" s="110"/>
      <c r="DB13" s="111"/>
      <c r="DC13" s="111"/>
      <c r="DE13" s="111"/>
      <c r="DF13" s="111"/>
      <c r="DH13" s="111"/>
      <c r="DI13" s="111"/>
      <c r="DK13" s="112"/>
      <c r="DL13" s="113"/>
      <c r="DN13" s="112"/>
      <c r="DO13" s="112"/>
    </row>
    <row r="14" spans="1:119" s="57" customFormat="1" ht="15" customHeight="1" x14ac:dyDescent="0.2">
      <c r="A14" s="126" t="s">
        <v>31</v>
      </c>
      <c r="B14" s="127">
        <v>4.2430000000000003</v>
      </c>
      <c r="C14" s="128">
        <v>29.802</v>
      </c>
      <c r="D14" s="128">
        <v>6.19</v>
      </c>
      <c r="E14" s="129">
        <v>54.09</v>
      </c>
      <c r="F14" s="130"/>
      <c r="G14" s="131"/>
      <c r="H14" s="132">
        <v>0.13</v>
      </c>
      <c r="I14" s="133">
        <v>0.01</v>
      </c>
      <c r="J14" s="128" t="s">
        <v>166</v>
      </c>
      <c r="K14" s="128" t="s">
        <v>167</v>
      </c>
      <c r="L14" s="128">
        <v>0.375</v>
      </c>
      <c r="M14" s="129">
        <v>46.709000000000003</v>
      </c>
      <c r="N14" s="130"/>
      <c r="O14" s="131"/>
      <c r="P14" s="134">
        <v>0.2</v>
      </c>
      <c r="Q14" s="135">
        <v>0.06</v>
      </c>
      <c r="R14" s="128" t="s">
        <v>168</v>
      </c>
      <c r="S14" s="128" t="s">
        <v>169</v>
      </c>
      <c r="T14" s="129">
        <v>0.26500000000000001</v>
      </c>
      <c r="U14" s="129">
        <v>0.69</v>
      </c>
      <c r="V14" s="129">
        <v>0.88</v>
      </c>
      <c r="W14" s="136">
        <v>5.1999999999999998E-2</v>
      </c>
      <c r="X14" s="137"/>
      <c r="Y14" s="77"/>
      <c r="Z14" s="138">
        <v>0.88</v>
      </c>
      <c r="AA14" s="139">
        <v>0.91</v>
      </c>
      <c r="AB14" s="140">
        <v>0.03</v>
      </c>
      <c r="AC14" s="140">
        <v>0.95</v>
      </c>
      <c r="AD14" s="140">
        <v>0.97</v>
      </c>
      <c r="AE14" s="141">
        <v>0.02</v>
      </c>
      <c r="AF14" s="57" t="s">
        <v>101</v>
      </c>
      <c r="AG14" s="2"/>
      <c r="AH14" s="2"/>
      <c r="AJ14" s="142">
        <v>4.1000000000000002E-2</v>
      </c>
      <c r="AK14" s="143">
        <v>2.9000000000000001E-2</v>
      </c>
      <c r="AM14" s="144">
        <v>0.72199999999999998</v>
      </c>
      <c r="AN14" s="145"/>
      <c r="AP14" s="146">
        <v>6.9999999999999993E-2</v>
      </c>
      <c r="AQ14" s="57" t="s">
        <v>101</v>
      </c>
      <c r="AR14" s="146">
        <v>50</v>
      </c>
      <c r="AS14" s="146">
        <v>50</v>
      </c>
      <c r="AT14" s="57" t="s">
        <v>101</v>
      </c>
      <c r="AU14" s="146">
        <v>50</v>
      </c>
      <c r="AV14" s="146">
        <v>50</v>
      </c>
      <c r="AW14" s="57" t="s">
        <v>101</v>
      </c>
      <c r="AX14" s="146">
        <v>0.59499999999999997</v>
      </c>
      <c r="AY14" s="146">
        <v>0.53700000000000003</v>
      </c>
      <c r="AZ14" s="146">
        <v>1.1320000000000001</v>
      </c>
      <c r="BA14" s="57" t="s">
        <v>101</v>
      </c>
      <c r="BB14" s="92" t="s">
        <v>101</v>
      </c>
      <c r="BC14" s="88" t="s">
        <v>170</v>
      </c>
      <c r="BE14" s="92" t="s">
        <v>101</v>
      </c>
      <c r="BF14" s="88" t="s">
        <v>170</v>
      </c>
      <c r="BH14" s="92" t="s">
        <v>101</v>
      </c>
      <c r="BI14" s="88" t="s">
        <v>171</v>
      </c>
      <c r="BK14" s="92" t="s">
        <v>101</v>
      </c>
      <c r="BL14" s="88" t="s">
        <v>171</v>
      </c>
      <c r="BN14" s="106"/>
      <c r="BP14" s="147" t="s">
        <v>101</v>
      </c>
      <c r="BQ14" s="108"/>
      <c r="BS14" s="109"/>
      <c r="BU14" s="92" t="s">
        <v>101</v>
      </c>
      <c r="BV14" s="88" t="s">
        <v>171</v>
      </c>
      <c r="BX14" s="92" t="s">
        <v>101</v>
      </c>
      <c r="BY14" s="88" t="s">
        <v>171</v>
      </c>
      <c r="CA14" s="148">
        <v>1.5699999999999998</v>
      </c>
      <c r="CC14" s="148">
        <v>0.96</v>
      </c>
      <c r="CE14" s="92" t="s">
        <v>101</v>
      </c>
      <c r="CF14" s="92" t="s">
        <v>101</v>
      </c>
      <c r="CH14" s="109"/>
      <c r="CJ14" s="92" t="s">
        <v>101</v>
      </c>
      <c r="CK14" s="93"/>
      <c r="CM14" s="92" t="s">
        <v>101</v>
      </c>
      <c r="CN14" s="93"/>
      <c r="CP14" s="92" t="s">
        <v>101</v>
      </c>
      <c r="CQ14" s="92" t="s">
        <v>170</v>
      </c>
      <c r="CR14" s="110"/>
      <c r="CS14" s="110"/>
      <c r="CT14" s="110"/>
      <c r="CV14" s="92" t="s">
        <v>101</v>
      </c>
      <c r="CW14" s="92" t="s">
        <v>170</v>
      </c>
      <c r="CX14" s="110"/>
      <c r="CY14" s="110"/>
      <c r="CZ14" s="110"/>
      <c r="DB14" s="111"/>
      <c r="DC14" s="111"/>
      <c r="DE14" s="111"/>
      <c r="DF14" s="111"/>
      <c r="DH14" s="111"/>
      <c r="DI14" s="111"/>
      <c r="DK14" s="149"/>
      <c r="DL14" s="113"/>
      <c r="DN14" s="149"/>
      <c r="DO14" s="149"/>
    </row>
    <row r="15" spans="1:119" s="57" customFormat="1" ht="15" customHeight="1" x14ac:dyDescent="0.2">
      <c r="A15" s="98" t="s">
        <v>32</v>
      </c>
      <c r="B15" s="150">
        <v>4.3330000000000002</v>
      </c>
      <c r="C15" s="117">
        <v>31.026</v>
      </c>
      <c r="D15" s="117">
        <v>5.61</v>
      </c>
      <c r="E15" s="135">
        <v>56.530999999999999</v>
      </c>
      <c r="F15" s="151"/>
      <c r="G15" s="152"/>
      <c r="H15" s="134">
        <v>0.11</v>
      </c>
      <c r="I15" s="135">
        <v>0.08</v>
      </c>
      <c r="J15" s="117" t="s">
        <v>172</v>
      </c>
      <c r="K15" s="117" t="s">
        <v>173</v>
      </c>
      <c r="L15" s="117">
        <v>0.41499999999999998</v>
      </c>
      <c r="M15" s="135">
        <v>46.531999999999996</v>
      </c>
      <c r="N15" s="151"/>
      <c r="O15" s="152"/>
      <c r="P15" s="134">
        <v>0.08</v>
      </c>
      <c r="Q15" s="135">
        <v>0.03</v>
      </c>
      <c r="R15" s="117" t="s">
        <v>174</v>
      </c>
      <c r="S15" s="117" t="s">
        <v>175</v>
      </c>
      <c r="T15" s="117">
        <v>0.313</v>
      </c>
      <c r="U15" s="117">
        <v>0.95</v>
      </c>
      <c r="V15" s="118">
        <v>0.88</v>
      </c>
      <c r="W15" s="153"/>
      <c r="X15" s="153"/>
      <c r="Y15" s="77"/>
      <c r="Z15" s="154">
        <v>1.02</v>
      </c>
      <c r="AA15" s="155">
        <v>1.04</v>
      </c>
      <c r="AB15" s="156">
        <v>0.02</v>
      </c>
      <c r="AC15" s="156">
        <v>1.04</v>
      </c>
      <c r="AD15" s="156">
        <v>1.06</v>
      </c>
      <c r="AE15" s="157">
        <v>0.02</v>
      </c>
      <c r="AF15" s="57" t="s">
        <v>101</v>
      </c>
      <c r="AG15" s="2"/>
      <c r="AH15" s="2"/>
      <c r="AJ15" s="158">
        <v>3.6999999999999998E-2</v>
      </c>
      <c r="AK15" s="159">
        <v>-6.2E-2</v>
      </c>
      <c r="AM15" s="160"/>
      <c r="AN15" s="145"/>
      <c r="AP15" s="146">
        <v>0.11</v>
      </c>
      <c r="AQ15" s="57" t="s">
        <v>101</v>
      </c>
      <c r="AR15" s="146">
        <v>50</v>
      </c>
      <c r="AS15" s="146">
        <v>50</v>
      </c>
      <c r="AT15" s="57" t="s">
        <v>101</v>
      </c>
      <c r="AU15" s="146">
        <v>50</v>
      </c>
      <c r="AV15" s="146">
        <v>50</v>
      </c>
      <c r="AW15" s="57" t="s">
        <v>101</v>
      </c>
      <c r="AX15" s="146">
        <v>0.56799999999999995</v>
      </c>
      <c r="AY15" s="146">
        <v>0.55800000000000005</v>
      </c>
      <c r="AZ15" s="146">
        <v>1.1259999999999999</v>
      </c>
      <c r="BA15" s="57" t="s">
        <v>101</v>
      </c>
      <c r="BB15" s="92" t="s">
        <v>101</v>
      </c>
      <c r="BC15" s="88" t="s">
        <v>170</v>
      </c>
      <c r="BE15" s="92" t="s">
        <v>101</v>
      </c>
      <c r="BF15" s="88" t="s">
        <v>170</v>
      </c>
      <c r="BH15" s="92" t="s">
        <v>101</v>
      </c>
      <c r="BI15" s="88">
        <v>0</v>
      </c>
      <c r="BK15" s="92" t="s">
        <v>101</v>
      </c>
      <c r="BL15" s="88">
        <v>0</v>
      </c>
      <c r="BN15" s="106"/>
      <c r="BP15" s="147" t="s">
        <v>101</v>
      </c>
      <c r="BQ15" s="108"/>
      <c r="BS15" s="109"/>
      <c r="BU15" s="92" t="s">
        <v>101</v>
      </c>
      <c r="BV15" s="88">
        <v>0</v>
      </c>
      <c r="BX15" s="92" t="s">
        <v>101</v>
      </c>
      <c r="BY15" s="88">
        <v>0</v>
      </c>
      <c r="CA15" s="148">
        <v>1.83</v>
      </c>
      <c r="CC15" s="148">
        <v>1.29</v>
      </c>
      <c r="CE15" s="92" t="s">
        <v>101</v>
      </c>
      <c r="CF15" s="92" t="s">
        <v>101</v>
      </c>
      <c r="CH15" s="109"/>
      <c r="CJ15" s="92" t="s">
        <v>101</v>
      </c>
      <c r="CK15" s="91">
        <v>0</v>
      </c>
      <c r="CM15" s="92" t="s">
        <v>101</v>
      </c>
      <c r="CN15" s="91">
        <v>0</v>
      </c>
      <c r="CP15" s="92" t="s">
        <v>101</v>
      </c>
      <c r="CQ15" s="92" t="s">
        <v>170</v>
      </c>
      <c r="CR15" s="110"/>
      <c r="CS15" s="110"/>
      <c r="CT15" s="110"/>
      <c r="CV15" s="92" t="s">
        <v>101</v>
      </c>
      <c r="CW15" s="92" t="s">
        <v>170</v>
      </c>
      <c r="CX15" s="110"/>
      <c r="CY15" s="110"/>
      <c r="CZ15" s="110"/>
      <c r="DB15" s="111"/>
      <c r="DC15" s="111"/>
      <c r="DE15" s="111"/>
      <c r="DF15" s="111"/>
      <c r="DH15" s="111"/>
      <c r="DI15" s="111"/>
      <c r="DK15" s="92" t="s">
        <v>101</v>
      </c>
      <c r="DL15" s="91">
        <v>0</v>
      </c>
      <c r="DN15" s="92" t="s">
        <v>101</v>
      </c>
      <c r="DO15" s="91">
        <v>0</v>
      </c>
    </row>
    <row r="16" spans="1:119" s="57" customFormat="1" ht="15" customHeight="1" x14ac:dyDescent="0.2">
      <c r="A16" s="98" t="s">
        <v>33</v>
      </c>
      <c r="B16" s="150">
        <v>4.532</v>
      </c>
      <c r="C16" s="117">
        <v>31.763000000000002</v>
      </c>
      <c r="D16" s="117">
        <v>5.3</v>
      </c>
      <c r="E16" s="135">
        <v>58.454999999999998</v>
      </c>
      <c r="F16" s="151"/>
      <c r="G16" s="152"/>
      <c r="H16" s="134">
        <v>0.12</v>
      </c>
      <c r="I16" s="135">
        <v>0.08</v>
      </c>
      <c r="J16" s="117" t="s">
        <v>172</v>
      </c>
      <c r="K16" s="117" t="s">
        <v>176</v>
      </c>
      <c r="L16" s="117">
        <v>0.40200000000000002</v>
      </c>
      <c r="M16" s="135">
        <v>46.542000000000002</v>
      </c>
      <c r="N16" s="151"/>
      <c r="O16" s="152"/>
      <c r="P16" s="134">
        <v>0.09</v>
      </c>
      <c r="Q16" s="135">
        <v>0</v>
      </c>
      <c r="R16" s="117" t="s">
        <v>176</v>
      </c>
      <c r="S16" s="117" t="s">
        <v>177</v>
      </c>
      <c r="T16" s="117">
        <v>0.29899999999999999</v>
      </c>
      <c r="U16" s="117">
        <v>1</v>
      </c>
      <c r="V16" s="118">
        <v>0.9</v>
      </c>
      <c r="W16" s="153"/>
      <c r="X16" s="153"/>
      <c r="Y16" s="77"/>
      <c r="Z16" s="154">
        <v>1.07</v>
      </c>
      <c r="AA16" s="155">
        <v>1.0900000000000001</v>
      </c>
      <c r="AB16" s="156">
        <v>0.02</v>
      </c>
      <c r="AC16" s="156">
        <v>1.07</v>
      </c>
      <c r="AD16" s="156">
        <v>1.0900000000000001</v>
      </c>
      <c r="AE16" s="157">
        <v>0.02</v>
      </c>
      <c r="AF16" s="57" t="s">
        <v>101</v>
      </c>
      <c r="AG16" s="2"/>
      <c r="AH16" s="2"/>
      <c r="AJ16" s="158">
        <v>3.6999999999999998E-2</v>
      </c>
      <c r="AK16" s="159">
        <v>-7.0000000000000007E-2</v>
      </c>
      <c r="AM16" s="160"/>
      <c r="AN16" s="145"/>
      <c r="AP16" s="146">
        <v>0.08</v>
      </c>
      <c r="AQ16" s="57" t="s">
        <v>101</v>
      </c>
      <c r="AR16" s="146">
        <v>50</v>
      </c>
      <c r="AS16" s="146">
        <v>50</v>
      </c>
      <c r="AT16" s="57" t="s">
        <v>101</v>
      </c>
      <c r="AU16" s="146">
        <v>50</v>
      </c>
      <c r="AV16" s="146">
        <v>50</v>
      </c>
      <c r="AW16" s="57" t="s">
        <v>101</v>
      </c>
      <c r="AX16" s="146">
        <v>0.57099999999999995</v>
      </c>
      <c r="AY16" s="146">
        <v>0.56399999999999995</v>
      </c>
      <c r="AZ16" s="146">
        <v>1.1349999999999998</v>
      </c>
      <c r="BA16" s="57" t="s">
        <v>101</v>
      </c>
      <c r="BB16" s="92" t="s">
        <v>101</v>
      </c>
      <c r="BC16" s="88" t="s">
        <v>170</v>
      </c>
      <c r="BE16" s="92" t="s">
        <v>101</v>
      </c>
      <c r="BF16" s="88" t="s">
        <v>170</v>
      </c>
      <c r="BH16" s="92" t="s">
        <v>101</v>
      </c>
      <c r="BI16" s="88">
        <v>0</v>
      </c>
      <c r="BK16" s="92" t="s">
        <v>101</v>
      </c>
      <c r="BL16" s="88">
        <v>0</v>
      </c>
      <c r="BN16" s="106"/>
      <c r="BP16" s="147" t="s">
        <v>101</v>
      </c>
      <c r="BQ16" s="108"/>
      <c r="BS16" s="109"/>
      <c r="BU16" s="92" t="s">
        <v>101</v>
      </c>
      <c r="BV16" s="88">
        <v>0</v>
      </c>
      <c r="BX16" s="92" t="s">
        <v>101</v>
      </c>
      <c r="BY16" s="88">
        <v>0</v>
      </c>
      <c r="CA16" s="148">
        <v>1.9</v>
      </c>
      <c r="CC16" s="148">
        <v>1.4200000000000002</v>
      </c>
      <c r="CE16" s="92" t="s">
        <v>101</v>
      </c>
      <c r="CF16" s="92" t="s">
        <v>101</v>
      </c>
      <c r="CH16" s="109"/>
      <c r="CJ16" s="92" t="s">
        <v>101</v>
      </c>
      <c r="CK16" s="108"/>
      <c r="CM16" s="92" t="s">
        <v>101</v>
      </c>
      <c r="CN16" s="108"/>
      <c r="CP16" s="92" t="s">
        <v>101</v>
      </c>
      <c r="CQ16" s="92" t="s">
        <v>170</v>
      </c>
      <c r="CR16" s="110"/>
      <c r="CS16" s="110"/>
      <c r="CT16" s="110"/>
      <c r="CV16" s="92" t="s">
        <v>101</v>
      </c>
      <c r="CW16" s="92" t="s">
        <v>170</v>
      </c>
      <c r="CX16" s="110"/>
      <c r="CY16" s="110"/>
      <c r="CZ16" s="110"/>
      <c r="DB16" s="111"/>
      <c r="DC16" s="111"/>
      <c r="DE16" s="111"/>
      <c r="DF16" s="111"/>
      <c r="DH16" s="111"/>
      <c r="DI16" s="111"/>
      <c r="DK16" s="92" t="s">
        <v>101</v>
      </c>
      <c r="DL16" s="108"/>
      <c r="DN16" s="92" t="s">
        <v>101</v>
      </c>
      <c r="DO16" s="108"/>
    </row>
    <row r="17" spans="1:119" s="57" customFormat="1" ht="15" customHeight="1" x14ac:dyDescent="0.2">
      <c r="A17" s="98" t="s">
        <v>34</v>
      </c>
      <c r="B17" s="150">
        <v>4.9050000000000002</v>
      </c>
      <c r="C17" s="117">
        <v>32.593000000000004</v>
      </c>
      <c r="D17" s="117">
        <v>4.9779999999999998</v>
      </c>
      <c r="E17" s="135">
        <v>60.945999999999998</v>
      </c>
      <c r="F17" s="151"/>
      <c r="G17" s="152"/>
      <c r="H17" s="134">
        <v>0.11</v>
      </c>
      <c r="I17" s="135">
        <v>0.08</v>
      </c>
      <c r="J17" s="117" t="s">
        <v>178</v>
      </c>
      <c r="K17" s="117" t="s">
        <v>179</v>
      </c>
      <c r="L17" s="117">
        <v>0.39200000000000002</v>
      </c>
      <c r="M17" s="135">
        <v>46.789000000000001</v>
      </c>
      <c r="N17" s="151"/>
      <c r="O17" s="152"/>
      <c r="P17" s="134">
        <v>0.08</v>
      </c>
      <c r="Q17" s="135">
        <v>-0.08</v>
      </c>
      <c r="R17" s="117" t="s">
        <v>176</v>
      </c>
      <c r="S17" s="117" t="s">
        <v>180</v>
      </c>
      <c r="T17" s="117">
        <v>0.318</v>
      </c>
      <c r="U17" s="117">
        <v>1.01</v>
      </c>
      <c r="V17" s="118">
        <v>0.87</v>
      </c>
      <c r="W17" s="153"/>
      <c r="X17" s="153"/>
      <c r="Y17" s="77"/>
      <c r="Z17" s="154">
        <v>1.07</v>
      </c>
      <c r="AA17" s="155">
        <v>1.08</v>
      </c>
      <c r="AB17" s="156">
        <v>0.01</v>
      </c>
      <c r="AC17" s="156">
        <v>0.99</v>
      </c>
      <c r="AD17" s="156">
        <v>1.01</v>
      </c>
      <c r="AE17" s="157">
        <v>0.02</v>
      </c>
      <c r="AF17" s="57" t="s">
        <v>101</v>
      </c>
      <c r="AG17" s="2"/>
      <c r="AH17" s="2"/>
      <c r="AJ17" s="158">
        <v>3.4000000000000002E-2</v>
      </c>
      <c r="AK17" s="159">
        <v>-8.6999999999999994E-2</v>
      </c>
      <c r="AM17" s="160"/>
      <c r="AN17" s="145"/>
      <c r="AP17" s="146">
        <v>0</v>
      </c>
      <c r="AQ17" s="57" t="s">
        <v>101</v>
      </c>
      <c r="AR17" s="146">
        <v>50</v>
      </c>
      <c r="AS17" s="146">
        <v>50</v>
      </c>
      <c r="AT17" s="57" t="s">
        <v>101</v>
      </c>
      <c r="AU17" s="146">
        <v>50</v>
      </c>
      <c r="AV17" s="146">
        <v>50</v>
      </c>
      <c r="AW17" s="57" t="s">
        <v>101</v>
      </c>
      <c r="AX17" s="146">
        <v>0.56999999999999995</v>
      </c>
      <c r="AY17" s="146">
        <v>0.57099999999999995</v>
      </c>
      <c r="AZ17" s="146">
        <v>1.141</v>
      </c>
      <c r="BA17" s="57" t="s">
        <v>101</v>
      </c>
      <c r="BB17" s="92" t="s">
        <v>101</v>
      </c>
      <c r="BC17" s="88" t="s">
        <v>170</v>
      </c>
      <c r="BE17" s="92" t="s">
        <v>101</v>
      </c>
      <c r="BF17" s="88" t="s">
        <v>170</v>
      </c>
      <c r="BH17" s="92" t="s">
        <v>101</v>
      </c>
      <c r="BI17" s="88">
        <v>0</v>
      </c>
      <c r="BK17" s="92" t="s">
        <v>101</v>
      </c>
      <c r="BL17" s="88">
        <v>0</v>
      </c>
      <c r="BN17" s="106"/>
      <c r="BP17" s="147" t="s">
        <v>101</v>
      </c>
      <c r="BQ17" s="108"/>
      <c r="BS17" s="109"/>
      <c r="BU17" s="92" t="s">
        <v>101</v>
      </c>
      <c r="BV17" s="88">
        <v>0</v>
      </c>
      <c r="BX17" s="92" t="s">
        <v>101</v>
      </c>
      <c r="BY17" s="88">
        <v>0</v>
      </c>
      <c r="CA17" s="148">
        <v>1.88</v>
      </c>
      <c r="CC17" s="148">
        <v>1.5199999999999998</v>
      </c>
      <c r="CE17" s="92" t="s">
        <v>101</v>
      </c>
      <c r="CF17" s="92" t="s">
        <v>101</v>
      </c>
      <c r="CH17" s="109"/>
      <c r="CJ17" s="92" t="s">
        <v>101</v>
      </c>
      <c r="CK17" s="108"/>
      <c r="CM17" s="92" t="s">
        <v>101</v>
      </c>
      <c r="CN17" s="108"/>
      <c r="CP17" s="92" t="s">
        <v>101</v>
      </c>
      <c r="CQ17" s="92" t="s">
        <v>170</v>
      </c>
      <c r="CR17" s="110"/>
      <c r="CS17" s="110"/>
      <c r="CT17" s="110"/>
      <c r="CV17" s="92" t="s">
        <v>101</v>
      </c>
      <c r="CW17" s="92" t="s">
        <v>170</v>
      </c>
      <c r="CX17" s="110"/>
      <c r="CY17" s="110"/>
      <c r="CZ17" s="110"/>
      <c r="DB17" s="111"/>
      <c r="DC17" s="111"/>
      <c r="DE17" s="111"/>
      <c r="DF17" s="111"/>
      <c r="DH17" s="111"/>
      <c r="DI17" s="111"/>
      <c r="DK17" s="92" t="s">
        <v>101</v>
      </c>
      <c r="DL17" s="108"/>
      <c r="DN17" s="92" t="s">
        <v>101</v>
      </c>
      <c r="DO17" s="108"/>
    </row>
    <row r="18" spans="1:119" s="57" customFormat="1" ht="15" customHeight="1" x14ac:dyDescent="0.2">
      <c r="A18" s="114" t="s">
        <v>35</v>
      </c>
      <c r="B18" s="161">
        <v>5.4189999999999996</v>
      </c>
      <c r="C18" s="162">
        <v>33.500999999999998</v>
      </c>
      <c r="D18" s="162">
        <v>4.8220000000000001</v>
      </c>
      <c r="E18" s="163">
        <v>63.930999999999997</v>
      </c>
      <c r="F18" s="151"/>
      <c r="G18" s="152"/>
      <c r="H18" s="164">
        <v>0.12</v>
      </c>
      <c r="I18" s="163">
        <v>0.09</v>
      </c>
      <c r="J18" s="162" t="s">
        <v>181</v>
      </c>
      <c r="K18" s="162" t="s">
        <v>179</v>
      </c>
      <c r="L18" s="162">
        <v>0.44800000000000001</v>
      </c>
      <c r="M18" s="163">
        <v>47.585000000000001</v>
      </c>
      <c r="N18" s="151"/>
      <c r="O18" s="152"/>
      <c r="P18" s="164">
        <v>0.09</v>
      </c>
      <c r="Q18" s="163">
        <v>-0.01</v>
      </c>
      <c r="R18" s="162" t="s">
        <v>182</v>
      </c>
      <c r="S18" s="162" t="s">
        <v>183</v>
      </c>
      <c r="T18" s="162">
        <v>0.33600000000000002</v>
      </c>
      <c r="U18" s="162">
        <v>1.04</v>
      </c>
      <c r="V18" s="165">
        <v>0.98</v>
      </c>
      <c r="W18" s="153"/>
      <c r="X18" s="153"/>
      <c r="Y18" s="77"/>
      <c r="Z18" s="154">
        <v>1.08</v>
      </c>
      <c r="AA18" s="166">
        <v>1.1000000000000001</v>
      </c>
      <c r="AB18" s="167">
        <v>0.02</v>
      </c>
      <c r="AC18" s="167">
        <v>1.0900000000000001</v>
      </c>
      <c r="AD18" s="167">
        <v>1.1100000000000001</v>
      </c>
      <c r="AE18" s="168">
        <v>0.02</v>
      </c>
      <c r="AF18" s="57" t="s">
        <v>101</v>
      </c>
      <c r="AG18" s="2"/>
      <c r="AH18" s="2"/>
      <c r="AJ18" s="158">
        <v>3.1E-2</v>
      </c>
      <c r="AK18" s="159">
        <v>-9.1999999999999998E-2</v>
      </c>
      <c r="AM18" s="160"/>
      <c r="AN18" s="145"/>
      <c r="AP18" s="146">
        <v>0.08</v>
      </c>
      <c r="AQ18" s="57" t="s">
        <v>101</v>
      </c>
      <c r="AR18" s="146">
        <v>50</v>
      </c>
      <c r="AS18" s="146">
        <v>50</v>
      </c>
      <c r="AT18" s="57" t="s">
        <v>101</v>
      </c>
      <c r="AU18" s="146">
        <v>50</v>
      </c>
      <c r="AV18" s="146">
        <v>50</v>
      </c>
      <c r="AW18" s="57" t="s">
        <v>101</v>
      </c>
      <c r="AX18" s="146">
        <v>0.58799999999999997</v>
      </c>
      <c r="AY18" s="146">
        <v>0.57499999999999996</v>
      </c>
      <c r="AZ18" s="146">
        <v>1.1629999999999998</v>
      </c>
      <c r="BA18" s="57" t="s">
        <v>101</v>
      </c>
      <c r="BB18" s="92" t="s">
        <v>101</v>
      </c>
      <c r="BC18" s="88" t="s">
        <v>170</v>
      </c>
      <c r="BE18" s="92" t="s">
        <v>101</v>
      </c>
      <c r="BF18" s="88" t="s">
        <v>170</v>
      </c>
      <c r="BH18" s="92" t="s">
        <v>101</v>
      </c>
      <c r="BI18" s="88">
        <v>0</v>
      </c>
      <c r="BK18" s="92" t="s">
        <v>101</v>
      </c>
      <c r="BL18" s="88">
        <v>0</v>
      </c>
      <c r="BN18" s="106"/>
      <c r="BP18" s="147" t="s">
        <v>101</v>
      </c>
      <c r="BQ18" s="108"/>
      <c r="BS18" s="109"/>
      <c r="BU18" s="92" t="s">
        <v>101</v>
      </c>
      <c r="BV18" s="88">
        <v>0</v>
      </c>
      <c r="BX18" s="92" t="s">
        <v>101</v>
      </c>
      <c r="BY18" s="88">
        <v>0</v>
      </c>
      <c r="CA18" s="148">
        <v>2.02</v>
      </c>
      <c r="CC18" s="148">
        <v>1.5899999999999999</v>
      </c>
      <c r="CE18" s="92" t="s">
        <v>101</v>
      </c>
      <c r="CF18" s="92" t="s">
        <v>101</v>
      </c>
      <c r="CH18" s="109"/>
      <c r="CJ18" s="92" t="s">
        <v>101</v>
      </c>
      <c r="CK18" s="108"/>
      <c r="CM18" s="92" t="s">
        <v>101</v>
      </c>
      <c r="CN18" s="108"/>
      <c r="CP18" s="92" t="s">
        <v>101</v>
      </c>
      <c r="CQ18" s="92" t="s">
        <v>170</v>
      </c>
      <c r="CR18" s="110"/>
      <c r="CS18" s="110"/>
      <c r="CT18" s="110"/>
      <c r="CV18" s="92" t="s">
        <v>101</v>
      </c>
      <c r="CW18" s="92" t="s">
        <v>170</v>
      </c>
      <c r="CX18" s="110"/>
      <c r="CY18" s="110"/>
      <c r="CZ18" s="110"/>
      <c r="DB18" s="111"/>
      <c r="DC18" s="111"/>
      <c r="DE18" s="111"/>
      <c r="DF18" s="111"/>
      <c r="DH18" s="111"/>
      <c r="DI18" s="111"/>
      <c r="DK18" s="92" t="s">
        <v>101</v>
      </c>
      <c r="DL18" s="108"/>
      <c r="DN18" s="92" t="s">
        <v>101</v>
      </c>
      <c r="DO18" s="108"/>
    </row>
    <row r="19" spans="1:119" s="57" customFormat="1" ht="15" customHeight="1" x14ac:dyDescent="0.2">
      <c r="A19" s="169" t="s">
        <v>36</v>
      </c>
      <c r="B19" s="150">
        <v>6.0739999999999998</v>
      </c>
      <c r="C19" s="117">
        <v>34.258000000000003</v>
      </c>
      <c r="D19" s="117">
        <v>4.6970000000000001</v>
      </c>
      <c r="E19" s="135">
        <v>67.513000000000005</v>
      </c>
      <c r="F19" s="151"/>
      <c r="G19" s="152"/>
      <c r="H19" s="134">
        <v>0.11</v>
      </c>
      <c r="I19" s="135">
        <v>0.09</v>
      </c>
      <c r="J19" s="117" t="s">
        <v>184</v>
      </c>
      <c r="K19" s="117" t="s">
        <v>179</v>
      </c>
      <c r="L19" s="117">
        <v>0.441</v>
      </c>
      <c r="M19" s="135">
        <v>48.96</v>
      </c>
      <c r="N19" s="151"/>
      <c r="O19" s="152"/>
      <c r="P19" s="134">
        <v>0.08</v>
      </c>
      <c r="Q19" s="135">
        <v>-0.01</v>
      </c>
      <c r="R19" s="117" t="s">
        <v>185</v>
      </c>
      <c r="S19" s="117" t="s">
        <v>186</v>
      </c>
      <c r="T19" s="117">
        <v>0.32500000000000001</v>
      </c>
      <c r="U19" s="117">
        <v>1.1200000000000001</v>
      </c>
      <c r="V19" s="118">
        <v>1</v>
      </c>
      <c r="W19" s="153"/>
      <c r="X19" s="153"/>
      <c r="Y19" s="170" t="s">
        <v>187</v>
      </c>
      <c r="Z19" s="171">
        <v>1.1599999999999999</v>
      </c>
      <c r="AA19" s="156">
        <v>1.19</v>
      </c>
      <c r="AB19" s="156">
        <v>0.03</v>
      </c>
      <c r="AC19" s="156">
        <v>1.07</v>
      </c>
      <c r="AD19" s="156">
        <v>1.0900000000000001</v>
      </c>
      <c r="AE19" s="157">
        <v>0.02</v>
      </c>
      <c r="AF19" s="57" t="s">
        <v>101</v>
      </c>
      <c r="AG19" s="2"/>
      <c r="AH19" s="2"/>
      <c r="AJ19" s="158">
        <v>0.03</v>
      </c>
      <c r="AK19" s="159">
        <v>-0.1</v>
      </c>
      <c r="AM19" s="160"/>
      <c r="AN19" s="145"/>
      <c r="AP19" s="146">
        <v>0.08</v>
      </c>
      <c r="AQ19" s="57" t="s">
        <v>101</v>
      </c>
      <c r="AR19" s="146">
        <v>50</v>
      </c>
      <c r="AS19" s="146">
        <v>50</v>
      </c>
      <c r="AT19" s="57" t="s">
        <v>101</v>
      </c>
      <c r="AU19" s="146">
        <v>50</v>
      </c>
      <c r="AV19" s="146">
        <v>50</v>
      </c>
      <c r="AW19" s="57" t="s">
        <v>101</v>
      </c>
      <c r="AX19" s="146">
        <v>0.57399999999999995</v>
      </c>
      <c r="AY19" s="146">
        <v>0.57799999999999996</v>
      </c>
      <c r="AZ19" s="146">
        <v>1.1519999999999999</v>
      </c>
      <c r="BA19" s="57" t="s">
        <v>101</v>
      </c>
      <c r="BB19" s="92" t="s">
        <v>101</v>
      </c>
      <c r="BC19" s="88" t="s">
        <v>170</v>
      </c>
      <c r="BE19" s="92" t="s">
        <v>101</v>
      </c>
      <c r="BF19" s="88" t="s">
        <v>170</v>
      </c>
      <c r="BH19" s="92" t="s">
        <v>101</v>
      </c>
      <c r="BI19" s="88">
        <v>0</v>
      </c>
      <c r="BK19" s="92" t="s">
        <v>101</v>
      </c>
      <c r="BL19" s="88">
        <v>0</v>
      </c>
      <c r="BN19" s="106"/>
      <c r="BP19" s="147" t="s">
        <v>101</v>
      </c>
      <c r="BQ19" s="108"/>
      <c r="BS19" s="109"/>
      <c r="BU19" s="92" t="s">
        <v>101</v>
      </c>
      <c r="BV19" s="88">
        <v>0</v>
      </c>
      <c r="BX19" s="92" t="s">
        <v>101</v>
      </c>
      <c r="BY19" s="88">
        <v>0</v>
      </c>
      <c r="CA19" s="148">
        <v>2.12</v>
      </c>
      <c r="CC19" s="148">
        <v>1.67</v>
      </c>
      <c r="CE19" s="92" t="s">
        <v>101</v>
      </c>
      <c r="CF19" s="92" t="s">
        <v>101</v>
      </c>
      <c r="CH19" s="109"/>
      <c r="CJ19" s="92" t="s">
        <v>101</v>
      </c>
      <c r="CK19" s="108"/>
      <c r="CM19" s="92" t="s">
        <v>101</v>
      </c>
      <c r="CN19" s="108"/>
      <c r="CP19" s="92" t="s">
        <v>101</v>
      </c>
      <c r="CQ19" s="92" t="s">
        <v>170</v>
      </c>
      <c r="CR19" s="110"/>
      <c r="CS19" s="110"/>
      <c r="CT19" s="110"/>
      <c r="CV19" s="92" t="s">
        <v>101</v>
      </c>
      <c r="CW19" s="92" t="s">
        <v>170</v>
      </c>
      <c r="CX19" s="110"/>
      <c r="CY19" s="110"/>
      <c r="CZ19" s="110"/>
      <c r="DB19" s="111"/>
      <c r="DC19" s="111"/>
      <c r="DE19" s="111"/>
      <c r="DF19" s="111"/>
      <c r="DH19" s="111"/>
      <c r="DI19" s="111"/>
      <c r="DK19" s="92" t="s">
        <v>101</v>
      </c>
      <c r="DL19" s="108"/>
      <c r="DN19" s="92" t="s">
        <v>101</v>
      </c>
      <c r="DO19" s="108"/>
    </row>
    <row r="20" spans="1:119" s="57" customFormat="1" ht="15" customHeight="1" x14ac:dyDescent="0.2">
      <c r="A20" s="172" t="s">
        <v>37</v>
      </c>
      <c r="B20" s="150">
        <v>7.3159999999999998</v>
      </c>
      <c r="C20" s="117">
        <v>35.395000000000003</v>
      </c>
      <c r="D20" s="117">
        <v>4.5739999999999998</v>
      </c>
      <c r="E20" s="135">
        <v>77.075000000000003</v>
      </c>
      <c r="F20" s="151"/>
      <c r="G20" s="152"/>
      <c r="H20" s="134">
        <v>0.14000000000000001</v>
      </c>
      <c r="I20" s="135">
        <v>0.08</v>
      </c>
      <c r="J20" s="117" t="s">
        <v>188</v>
      </c>
      <c r="K20" s="117" t="s">
        <v>179</v>
      </c>
      <c r="L20" s="117">
        <v>0.39200000000000002</v>
      </c>
      <c r="M20" s="135">
        <v>52.551000000000002</v>
      </c>
      <c r="N20" s="151"/>
      <c r="O20" s="152"/>
      <c r="P20" s="134">
        <v>0.1</v>
      </c>
      <c r="Q20" s="135">
        <v>-0.09</v>
      </c>
      <c r="R20" s="117" t="s">
        <v>189</v>
      </c>
      <c r="S20" s="117" t="s">
        <v>190</v>
      </c>
      <c r="T20" s="117">
        <v>0.34200000000000003</v>
      </c>
      <c r="U20" s="117">
        <v>1.25</v>
      </c>
      <c r="V20" s="118">
        <v>1.01</v>
      </c>
      <c r="W20" s="153"/>
      <c r="X20" s="153"/>
      <c r="Y20" s="173" t="s">
        <v>191</v>
      </c>
      <c r="Z20" s="155">
        <v>1.35</v>
      </c>
      <c r="AA20" s="156">
        <v>1.37</v>
      </c>
      <c r="AB20" s="156">
        <v>0.02</v>
      </c>
      <c r="AC20" s="156">
        <v>1.08</v>
      </c>
      <c r="AD20" s="156">
        <v>1.1100000000000001</v>
      </c>
      <c r="AE20" s="157">
        <v>0.03</v>
      </c>
      <c r="AF20" s="57" t="s">
        <v>101</v>
      </c>
      <c r="AG20" s="2"/>
      <c r="AH20" s="2"/>
      <c r="AJ20" s="158">
        <v>2.5999999999999999E-2</v>
      </c>
      <c r="AK20" s="159">
        <v>-7.6999999999999999E-2</v>
      </c>
      <c r="AM20" s="160"/>
      <c r="AN20" s="145"/>
      <c r="AP20" s="146">
        <v>-9.999999999999995E-3</v>
      </c>
      <c r="AQ20" s="57" t="s">
        <v>101</v>
      </c>
      <c r="AR20" s="146">
        <v>50</v>
      </c>
      <c r="AS20" s="146">
        <v>50</v>
      </c>
      <c r="AT20" s="57" t="s">
        <v>101</v>
      </c>
      <c r="AU20" s="146">
        <v>50</v>
      </c>
      <c r="AV20" s="146">
        <v>50</v>
      </c>
      <c r="AW20" s="57" t="s">
        <v>101</v>
      </c>
      <c r="AX20" s="146">
        <v>0.57399999999999995</v>
      </c>
      <c r="AY20" s="146">
        <v>0.58199999999999996</v>
      </c>
      <c r="AZ20" s="146">
        <v>1.1559999999999999</v>
      </c>
      <c r="BA20" s="57" t="s">
        <v>101</v>
      </c>
      <c r="BB20" s="92" t="s">
        <v>101</v>
      </c>
      <c r="BC20" s="88" t="s">
        <v>170</v>
      </c>
      <c r="BE20" s="92" t="s">
        <v>101</v>
      </c>
      <c r="BF20" s="88" t="s">
        <v>170</v>
      </c>
      <c r="BH20" s="92" t="s">
        <v>101</v>
      </c>
      <c r="BI20" s="88">
        <v>0</v>
      </c>
      <c r="BK20" s="92" t="s">
        <v>101</v>
      </c>
      <c r="BL20" s="88">
        <v>0</v>
      </c>
      <c r="BN20" s="106"/>
      <c r="BP20" s="147" t="s">
        <v>101</v>
      </c>
      <c r="BQ20" s="108"/>
      <c r="BS20" s="109"/>
      <c r="BU20" s="92" t="s">
        <v>101</v>
      </c>
      <c r="BV20" s="88">
        <v>0</v>
      </c>
      <c r="BX20" s="92" t="s">
        <v>101</v>
      </c>
      <c r="BY20" s="88">
        <v>0</v>
      </c>
      <c r="CA20" s="148">
        <v>2.2599999999999998</v>
      </c>
      <c r="CC20" s="148">
        <v>1.82</v>
      </c>
      <c r="CE20" s="92" t="s">
        <v>101</v>
      </c>
      <c r="CF20" s="92" t="s">
        <v>101</v>
      </c>
      <c r="CH20" s="109"/>
      <c r="CJ20" s="92" t="s">
        <v>101</v>
      </c>
      <c r="CK20" s="108"/>
      <c r="CM20" s="92" t="s">
        <v>101</v>
      </c>
      <c r="CN20" s="108"/>
      <c r="CP20" s="92" t="s">
        <v>101</v>
      </c>
      <c r="CQ20" s="92" t="s">
        <v>170</v>
      </c>
      <c r="CR20" s="110"/>
      <c r="CS20" s="110"/>
      <c r="CT20" s="110"/>
      <c r="CV20" s="92" t="s">
        <v>101</v>
      </c>
      <c r="CW20" s="92" t="s">
        <v>170</v>
      </c>
      <c r="CX20" s="110"/>
      <c r="CY20" s="110"/>
      <c r="CZ20" s="110"/>
      <c r="DB20" s="111"/>
      <c r="DC20" s="111"/>
      <c r="DE20" s="111"/>
      <c r="DF20" s="111"/>
      <c r="DH20" s="111"/>
      <c r="DI20" s="111"/>
      <c r="DK20" s="92" t="s">
        <v>101</v>
      </c>
      <c r="DL20" s="108"/>
      <c r="DN20" s="92" t="s">
        <v>101</v>
      </c>
      <c r="DO20" s="108"/>
    </row>
    <row r="21" spans="1:119" s="57" customFormat="1" ht="15" customHeight="1" x14ac:dyDescent="0.2">
      <c r="A21" s="98" t="s">
        <v>38</v>
      </c>
      <c r="B21" s="150">
        <v>9.0380000000000003</v>
      </c>
      <c r="C21" s="117">
        <v>36.747999999999998</v>
      </c>
      <c r="D21" s="117">
        <v>4.4320000000000004</v>
      </c>
      <c r="E21" s="135">
        <v>89.417000000000002</v>
      </c>
      <c r="F21" s="151"/>
      <c r="G21" s="152"/>
      <c r="H21" s="134">
        <v>0.11</v>
      </c>
      <c r="I21" s="135">
        <v>0.09</v>
      </c>
      <c r="J21" s="117" t="s">
        <v>192</v>
      </c>
      <c r="K21" s="117" t="s">
        <v>193</v>
      </c>
      <c r="L21" s="117">
        <v>0.38200000000000001</v>
      </c>
      <c r="M21" s="135">
        <v>56.604999999999997</v>
      </c>
      <c r="N21" s="151"/>
      <c r="O21" s="152"/>
      <c r="P21" s="134">
        <v>0.1</v>
      </c>
      <c r="Q21" s="135">
        <v>-0.12</v>
      </c>
      <c r="R21" s="117" t="s">
        <v>184</v>
      </c>
      <c r="S21" s="117" t="s">
        <v>194</v>
      </c>
      <c r="T21" s="117">
        <v>0.34499999999999997</v>
      </c>
      <c r="U21" s="117">
        <v>1.3</v>
      </c>
      <c r="V21" s="118">
        <v>1.06</v>
      </c>
      <c r="W21" s="153"/>
      <c r="X21" s="153"/>
      <c r="Y21" s="173" t="s">
        <v>195</v>
      </c>
      <c r="Z21" s="155">
        <v>1.56</v>
      </c>
      <c r="AA21" s="156">
        <v>1.59</v>
      </c>
      <c r="AB21" s="156">
        <v>0.03</v>
      </c>
      <c r="AC21" s="156">
        <v>1.1399999999999999</v>
      </c>
      <c r="AD21" s="156">
        <v>1.17</v>
      </c>
      <c r="AE21" s="157">
        <v>0.03</v>
      </c>
      <c r="AF21" s="57" t="s">
        <v>101</v>
      </c>
      <c r="AG21" s="2"/>
      <c r="AH21" s="2"/>
      <c r="AJ21" s="158">
        <v>1.4E-2</v>
      </c>
      <c r="AK21" s="159">
        <v>-6.9000000000000006E-2</v>
      </c>
      <c r="AM21" s="160"/>
      <c r="AN21" s="145"/>
      <c r="AP21" s="146">
        <v>-0.03</v>
      </c>
      <c r="AQ21" s="57" t="s">
        <v>101</v>
      </c>
      <c r="AR21" s="146">
        <v>50</v>
      </c>
      <c r="AS21" s="146">
        <v>50</v>
      </c>
      <c r="AT21" s="57" t="s">
        <v>101</v>
      </c>
      <c r="AU21" s="146">
        <v>50</v>
      </c>
      <c r="AV21" s="146">
        <v>50</v>
      </c>
      <c r="AW21" s="57" t="s">
        <v>101</v>
      </c>
      <c r="AX21" s="146">
        <v>0.57099999999999995</v>
      </c>
      <c r="AY21" s="146">
        <v>0.59899999999999998</v>
      </c>
      <c r="AZ21" s="146">
        <v>1.17</v>
      </c>
      <c r="BA21" s="57" t="s">
        <v>101</v>
      </c>
      <c r="BB21" s="92" t="s">
        <v>101</v>
      </c>
      <c r="BC21" s="88" t="s">
        <v>170</v>
      </c>
      <c r="BE21" s="92" t="s">
        <v>101</v>
      </c>
      <c r="BF21" s="88" t="s">
        <v>170</v>
      </c>
      <c r="BH21" s="92" t="s">
        <v>101</v>
      </c>
      <c r="BI21" s="88">
        <v>0</v>
      </c>
      <c r="BK21" s="92" t="s">
        <v>101</v>
      </c>
      <c r="BL21" s="88">
        <v>0</v>
      </c>
      <c r="BN21" s="106"/>
      <c r="BP21" s="147" t="s">
        <v>101</v>
      </c>
      <c r="BQ21" s="108"/>
      <c r="BS21" s="109"/>
      <c r="BU21" s="92" t="s">
        <v>101</v>
      </c>
      <c r="BV21" s="88">
        <v>0</v>
      </c>
      <c r="BX21" s="92" t="s">
        <v>101</v>
      </c>
      <c r="BY21" s="88">
        <v>0</v>
      </c>
      <c r="CA21" s="148">
        <v>2.3600000000000003</v>
      </c>
      <c r="CC21" s="148">
        <v>1.9799999999999998</v>
      </c>
      <c r="CE21" s="92" t="s">
        <v>101</v>
      </c>
      <c r="CF21" s="92" t="s">
        <v>101</v>
      </c>
      <c r="CH21" s="109"/>
      <c r="CJ21" s="92" t="s">
        <v>101</v>
      </c>
      <c r="CK21" s="108"/>
      <c r="CM21" s="92" t="s">
        <v>101</v>
      </c>
      <c r="CN21" s="108"/>
      <c r="CP21" s="92" t="s">
        <v>101</v>
      </c>
      <c r="CQ21" s="92" t="s">
        <v>170</v>
      </c>
      <c r="CR21" s="110"/>
      <c r="CS21" s="110"/>
      <c r="CT21" s="110"/>
      <c r="CV21" s="92" t="s">
        <v>101</v>
      </c>
      <c r="CW21" s="92" t="s">
        <v>170</v>
      </c>
      <c r="CX21" s="110"/>
      <c r="CY21" s="110"/>
      <c r="CZ21" s="110"/>
      <c r="DB21" s="111"/>
      <c r="DC21" s="111"/>
      <c r="DE21" s="111"/>
      <c r="DF21" s="111"/>
      <c r="DH21" s="111"/>
      <c r="DI21" s="111"/>
      <c r="DK21" s="92" t="s">
        <v>101</v>
      </c>
      <c r="DL21" s="108"/>
      <c r="DN21" s="92" t="s">
        <v>101</v>
      </c>
      <c r="DO21" s="108"/>
    </row>
    <row r="22" spans="1:119" s="57" customFormat="1" ht="15" customHeight="1" x14ac:dyDescent="0.2">
      <c r="A22" s="98" t="s">
        <v>39</v>
      </c>
      <c r="B22" s="150">
        <v>11.638</v>
      </c>
      <c r="C22" s="117">
        <v>38.43</v>
      </c>
      <c r="D22" s="117">
        <v>4.2789999999999999</v>
      </c>
      <c r="E22" s="135">
        <v>101.31699999999999</v>
      </c>
      <c r="F22" s="151"/>
      <c r="G22" s="152"/>
      <c r="H22" s="134">
        <v>0.1</v>
      </c>
      <c r="I22" s="135">
        <v>0.09</v>
      </c>
      <c r="J22" s="117" t="s">
        <v>196</v>
      </c>
      <c r="K22" s="117" t="s">
        <v>180</v>
      </c>
      <c r="L22" s="117">
        <v>0.39600000000000002</v>
      </c>
      <c r="M22" s="135">
        <v>61.042999999999999</v>
      </c>
      <c r="N22" s="151"/>
      <c r="O22" s="152"/>
      <c r="P22" s="134">
        <v>0.1</v>
      </c>
      <c r="Q22" s="135">
        <v>-0.12</v>
      </c>
      <c r="R22" s="117" t="s">
        <v>197</v>
      </c>
      <c r="S22" s="117" t="s">
        <v>173</v>
      </c>
      <c r="T22" s="117">
        <v>0.35</v>
      </c>
      <c r="U22" s="117">
        <v>1.38</v>
      </c>
      <c r="V22" s="118">
        <v>1.18</v>
      </c>
      <c r="W22" s="153"/>
      <c r="X22" s="153"/>
      <c r="Y22" s="173" t="s">
        <v>198</v>
      </c>
      <c r="Z22" s="155">
        <v>1.62</v>
      </c>
      <c r="AA22" s="156">
        <v>1.65</v>
      </c>
      <c r="AB22" s="156">
        <v>0.03</v>
      </c>
      <c r="AC22" s="156">
        <v>1.31</v>
      </c>
      <c r="AD22" s="156">
        <v>1.35</v>
      </c>
      <c r="AE22" s="157">
        <v>0.04</v>
      </c>
      <c r="AF22" s="57" t="s">
        <v>101</v>
      </c>
      <c r="AG22" s="2"/>
      <c r="AH22" s="2"/>
      <c r="AJ22" s="158">
        <v>1.0999999999999999E-2</v>
      </c>
      <c r="AK22" s="159">
        <v>-4.7E-2</v>
      </c>
      <c r="AM22" s="160"/>
      <c r="AN22" s="145"/>
      <c r="AP22" s="146">
        <v>-0.03</v>
      </c>
      <c r="AQ22" s="57" t="s">
        <v>101</v>
      </c>
      <c r="AR22" s="146">
        <v>50</v>
      </c>
      <c r="AS22" s="146">
        <v>50</v>
      </c>
      <c r="AT22" s="57" t="s">
        <v>101</v>
      </c>
      <c r="AU22" s="146">
        <v>50</v>
      </c>
      <c r="AV22" s="146">
        <v>50</v>
      </c>
      <c r="AW22" s="57" t="s">
        <v>101</v>
      </c>
      <c r="AX22" s="146">
        <v>0.56899999999999995</v>
      </c>
      <c r="AY22" s="146">
        <v>0.6</v>
      </c>
      <c r="AZ22" s="146">
        <v>1.169</v>
      </c>
      <c r="BA22" s="57" t="s">
        <v>101</v>
      </c>
      <c r="BB22" s="92" t="s">
        <v>101</v>
      </c>
      <c r="BC22" s="88" t="s">
        <v>170</v>
      </c>
      <c r="BE22" s="92" t="s">
        <v>101</v>
      </c>
      <c r="BF22" s="88" t="s">
        <v>170</v>
      </c>
      <c r="BH22" s="92" t="s">
        <v>101</v>
      </c>
      <c r="BI22" s="88">
        <v>0</v>
      </c>
      <c r="BK22" s="92" t="s">
        <v>101</v>
      </c>
      <c r="BL22" s="88">
        <v>0</v>
      </c>
      <c r="BN22" s="106"/>
      <c r="BP22" s="147" t="s">
        <v>101</v>
      </c>
      <c r="BQ22" s="108"/>
      <c r="BS22" s="109"/>
      <c r="BU22" s="92" t="s">
        <v>101</v>
      </c>
      <c r="BV22" s="88">
        <v>0</v>
      </c>
      <c r="BX22" s="92" t="s">
        <v>101</v>
      </c>
      <c r="BY22" s="88">
        <v>0</v>
      </c>
      <c r="CA22" s="148">
        <v>2.5599999999999996</v>
      </c>
      <c r="CC22" s="148">
        <v>2.1599999999999997</v>
      </c>
      <c r="CE22" s="92" t="s">
        <v>101</v>
      </c>
      <c r="CF22" s="92" t="s">
        <v>101</v>
      </c>
      <c r="CH22" s="109"/>
      <c r="CJ22" s="92" t="s">
        <v>101</v>
      </c>
      <c r="CK22" s="108"/>
      <c r="CM22" s="92" t="s">
        <v>101</v>
      </c>
      <c r="CN22" s="108"/>
      <c r="CP22" s="92" t="s">
        <v>101</v>
      </c>
      <c r="CQ22" s="92" t="s">
        <v>170</v>
      </c>
      <c r="CR22" s="110"/>
      <c r="CS22" s="110"/>
      <c r="CT22" s="110"/>
      <c r="CV22" s="92" t="s">
        <v>101</v>
      </c>
      <c r="CW22" s="92" t="s">
        <v>170</v>
      </c>
      <c r="CX22" s="110"/>
      <c r="CY22" s="110"/>
      <c r="CZ22" s="110"/>
      <c r="DB22" s="111"/>
      <c r="DC22" s="111"/>
      <c r="DE22" s="111"/>
      <c r="DF22" s="111"/>
      <c r="DH22" s="111"/>
      <c r="DI22" s="111"/>
      <c r="DK22" s="92" t="s">
        <v>101</v>
      </c>
      <c r="DL22" s="108"/>
      <c r="DN22" s="92" t="s">
        <v>101</v>
      </c>
      <c r="DO22" s="108"/>
    </row>
    <row r="23" spans="1:119" s="57" customFormat="1" ht="15" customHeight="1" x14ac:dyDescent="0.2">
      <c r="A23" s="98" t="s">
        <v>40</v>
      </c>
      <c r="B23" s="150">
        <v>13.775</v>
      </c>
      <c r="C23" s="117">
        <v>40.329000000000001</v>
      </c>
      <c r="D23" s="117">
        <v>4.12</v>
      </c>
      <c r="E23" s="135">
        <v>110.295</v>
      </c>
      <c r="F23" s="151"/>
      <c r="G23" s="152"/>
      <c r="H23" s="134">
        <v>0.12</v>
      </c>
      <c r="I23" s="135">
        <v>0.1</v>
      </c>
      <c r="J23" s="117" t="s">
        <v>199</v>
      </c>
      <c r="K23" s="117" t="s">
        <v>200</v>
      </c>
      <c r="L23" s="117">
        <v>0.40799999999999997</v>
      </c>
      <c r="M23" s="135">
        <v>64.983000000000004</v>
      </c>
      <c r="N23" s="151"/>
      <c r="O23" s="152"/>
      <c r="P23" s="134">
        <v>0.1</v>
      </c>
      <c r="Q23" s="135">
        <v>-0.12</v>
      </c>
      <c r="R23" s="117" t="s">
        <v>201</v>
      </c>
      <c r="S23" s="117" t="s">
        <v>173</v>
      </c>
      <c r="T23" s="117">
        <v>0.34100000000000003</v>
      </c>
      <c r="U23" s="117">
        <v>1.4</v>
      </c>
      <c r="V23" s="118">
        <v>1.1100000000000001</v>
      </c>
      <c r="W23" s="153"/>
      <c r="X23" s="153"/>
      <c r="Y23" s="173" t="s">
        <v>202</v>
      </c>
      <c r="Z23" s="155">
        <v>1.61</v>
      </c>
      <c r="AA23" s="156">
        <v>1.64</v>
      </c>
      <c r="AB23" s="156">
        <v>0.03</v>
      </c>
      <c r="AC23" s="156">
        <v>1.3</v>
      </c>
      <c r="AD23" s="156">
        <v>1.35</v>
      </c>
      <c r="AE23" s="157">
        <v>0.05</v>
      </c>
      <c r="AF23" s="57" t="s">
        <v>101</v>
      </c>
      <c r="AG23" s="2"/>
      <c r="AH23" s="2"/>
      <c r="AJ23" s="158">
        <v>4.0000000000000001E-3</v>
      </c>
      <c r="AK23" s="159">
        <v>-1.4E-2</v>
      </c>
      <c r="AM23" s="160"/>
      <c r="AN23" s="145"/>
      <c r="AP23" s="146">
        <v>-1.999999999999999E-2</v>
      </c>
      <c r="AQ23" s="57" t="s">
        <v>101</v>
      </c>
      <c r="AR23" s="146">
        <v>50</v>
      </c>
      <c r="AS23" s="146">
        <v>50</v>
      </c>
      <c r="AT23" s="57" t="s">
        <v>101</v>
      </c>
      <c r="AU23" s="146">
        <v>50</v>
      </c>
      <c r="AV23" s="146">
        <v>50</v>
      </c>
      <c r="AW23" s="57" t="s">
        <v>101</v>
      </c>
      <c r="AX23" s="146">
        <v>0.56499999999999995</v>
      </c>
      <c r="AY23" s="146">
        <v>0.60899999999999999</v>
      </c>
      <c r="AZ23" s="146">
        <v>1.1739999999999999</v>
      </c>
      <c r="BA23" s="57" t="s">
        <v>101</v>
      </c>
      <c r="BB23" s="92" t="s">
        <v>101</v>
      </c>
      <c r="BC23" s="88" t="s">
        <v>170</v>
      </c>
      <c r="BE23" s="92" t="s">
        <v>101</v>
      </c>
      <c r="BF23" s="88" t="s">
        <v>170</v>
      </c>
      <c r="BH23" s="92" t="s">
        <v>101</v>
      </c>
      <c r="BI23" s="88">
        <v>0</v>
      </c>
      <c r="BK23" s="92" t="s">
        <v>101</v>
      </c>
      <c r="BL23" s="88">
        <v>0</v>
      </c>
      <c r="BN23" s="106"/>
      <c r="BP23" s="147">
        <v>0</v>
      </c>
      <c r="BQ23" s="108"/>
      <c r="BS23" s="109"/>
      <c r="BU23" s="92" t="s">
        <v>101</v>
      </c>
      <c r="BV23" s="88">
        <v>0</v>
      </c>
      <c r="BX23" s="92" t="s">
        <v>101</v>
      </c>
      <c r="BY23" s="88">
        <v>0</v>
      </c>
      <c r="CA23" s="148">
        <v>2.5099999999999998</v>
      </c>
      <c r="CC23" s="148">
        <v>2.1199999999999997</v>
      </c>
      <c r="CE23" s="92" t="s">
        <v>101</v>
      </c>
      <c r="CF23" s="92" t="s">
        <v>101</v>
      </c>
      <c r="CH23" s="109"/>
      <c r="CJ23" s="92" t="s">
        <v>101</v>
      </c>
      <c r="CK23" s="108"/>
      <c r="CM23" s="92" t="s">
        <v>101</v>
      </c>
      <c r="CN23" s="108"/>
      <c r="CP23" s="92" t="s">
        <v>101</v>
      </c>
      <c r="CQ23" s="92" t="s">
        <v>170</v>
      </c>
      <c r="CR23" s="110"/>
      <c r="CS23" s="110"/>
      <c r="CT23" s="110"/>
      <c r="CV23" s="92" t="s">
        <v>101</v>
      </c>
      <c r="CW23" s="92" t="s">
        <v>170</v>
      </c>
      <c r="CX23" s="110"/>
      <c r="CY23" s="110"/>
      <c r="CZ23" s="110"/>
      <c r="DB23" s="148">
        <v>0.66200000000000003</v>
      </c>
      <c r="DC23" s="174"/>
      <c r="DD23" s="82"/>
      <c r="DE23" s="148">
        <v>0.58699999999999997</v>
      </c>
      <c r="DF23" s="174"/>
      <c r="DG23" s="175"/>
      <c r="DH23" s="91" t="s">
        <v>165</v>
      </c>
      <c r="DI23" s="111"/>
      <c r="DK23" s="92" t="s">
        <v>101</v>
      </c>
      <c r="DL23" s="108"/>
      <c r="DN23" s="92" t="s">
        <v>101</v>
      </c>
      <c r="DO23" s="108"/>
    </row>
    <row r="24" spans="1:119" s="57" customFormat="1" ht="15" customHeight="1" x14ac:dyDescent="0.2">
      <c r="A24" s="98" t="s">
        <v>41</v>
      </c>
      <c r="B24" s="150">
        <v>15.8</v>
      </c>
      <c r="C24" s="117">
        <v>42.33</v>
      </c>
      <c r="D24" s="117">
        <v>3.9940000000000002</v>
      </c>
      <c r="E24" s="135">
        <v>115.376</v>
      </c>
      <c r="F24" s="151"/>
      <c r="G24" s="152"/>
      <c r="H24" s="134">
        <v>0.12</v>
      </c>
      <c r="I24" s="135">
        <v>0.09</v>
      </c>
      <c r="J24" s="117" t="s">
        <v>203</v>
      </c>
      <c r="K24" s="117" t="s">
        <v>175</v>
      </c>
      <c r="L24" s="117">
        <v>0.40899999999999997</v>
      </c>
      <c r="M24" s="135">
        <v>68.944999999999993</v>
      </c>
      <c r="N24" s="151"/>
      <c r="O24" s="152"/>
      <c r="P24" s="134">
        <v>0.11</v>
      </c>
      <c r="Q24" s="135">
        <v>-0.05</v>
      </c>
      <c r="R24" s="117" t="s">
        <v>204</v>
      </c>
      <c r="S24" s="117" t="s">
        <v>179</v>
      </c>
      <c r="T24" s="117">
        <v>0.35299999999999998</v>
      </c>
      <c r="U24" s="117">
        <v>1.43</v>
      </c>
      <c r="V24" s="118">
        <v>1.19</v>
      </c>
      <c r="W24" s="153"/>
      <c r="X24" s="153"/>
      <c r="Y24" s="173" t="s">
        <v>205</v>
      </c>
      <c r="Z24" s="155">
        <v>1.64</v>
      </c>
      <c r="AA24" s="156">
        <v>1.67</v>
      </c>
      <c r="AB24" s="156">
        <v>0.03</v>
      </c>
      <c r="AC24" s="156">
        <v>1.38</v>
      </c>
      <c r="AD24" s="156">
        <v>1.43</v>
      </c>
      <c r="AE24" s="157">
        <v>0.05</v>
      </c>
      <c r="AF24" s="57" t="s">
        <v>101</v>
      </c>
      <c r="AG24" s="2"/>
      <c r="AH24" s="2"/>
      <c r="AJ24" s="158">
        <v>-1.2E-2</v>
      </c>
      <c r="AK24" s="159">
        <v>2.1000000000000001E-2</v>
      </c>
      <c r="AM24" s="160"/>
      <c r="AN24" s="145"/>
      <c r="AP24" s="146">
        <v>3.9999999999999994E-2</v>
      </c>
      <c r="AQ24" s="57" t="s">
        <v>101</v>
      </c>
      <c r="AR24" s="146">
        <v>50</v>
      </c>
      <c r="AS24" s="146">
        <v>50</v>
      </c>
      <c r="AT24" s="57" t="s">
        <v>101</v>
      </c>
      <c r="AU24" s="146">
        <v>50</v>
      </c>
      <c r="AV24" s="146">
        <v>50</v>
      </c>
      <c r="AW24" s="57" t="s">
        <v>101</v>
      </c>
      <c r="AX24" s="146">
        <v>0.55300000000000005</v>
      </c>
      <c r="AY24" s="146">
        <v>0.60699999999999998</v>
      </c>
      <c r="AZ24" s="146">
        <v>1.1600000000000001</v>
      </c>
      <c r="BA24" s="57" t="s">
        <v>101</v>
      </c>
      <c r="BB24" s="92" t="s">
        <v>101</v>
      </c>
      <c r="BC24" s="88" t="s">
        <v>170</v>
      </c>
      <c r="BE24" s="92" t="s">
        <v>101</v>
      </c>
      <c r="BF24" s="88" t="s">
        <v>170</v>
      </c>
      <c r="BH24" s="92" t="s">
        <v>101</v>
      </c>
      <c r="BI24" s="88">
        <v>0</v>
      </c>
      <c r="BK24" s="92" t="s">
        <v>101</v>
      </c>
      <c r="BL24" s="88">
        <v>0</v>
      </c>
      <c r="BN24" s="106"/>
      <c r="BP24" s="147">
        <v>0</v>
      </c>
      <c r="BQ24" s="108"/>
      <c r="BS24" s="109"/>
      <c r="BU24" s="92" t="s">
        <v>101</v>
      </c>
      <c r="BV24" s="88">
        <v>0</v>
      </c>
      <c r="BX24" s="92" t="s">
        <v>101</v>
      </c>
      <c r="BY24" s="88">
        <v>0</v>
      </c>
      <c r="CA24" s="148">
        <v>2.62</v>
      </c>
      <c r="CC24" s="148">
        <v>2.16</v>
      </c>
      <c r="CE24" s="92" t="s">
        <v>101</v>
      </c>
      <c r="CF24" s="92" t="s">
        <v>101</v>
      </c>
      <c r="CH24" s="109"/>
      <c r="CJ24" s="92" t="s">
        <v>101</v>
      </c>
      <c r="CK24" s="108"/>
      <c r="CM24" s="92" t="s">
        <v>101</v>
      </c>
      <c r="CN24" s="108"/>
      <c r="CP24" s="92" t="s">
        <v>101</v>
      </c>
      <c r="CQ24" s="92" t="s">
        <v>170</v>
      </c>
      <c r="CR24" s="110"/>
      <c r="CS24" s="110"/>
      <c r="CT24" s="110"/>
      <c r="CV24" s="92" t="s">
        <v>101</v>
      </c>
      <c r="CW24" s="92" t="s">
        <v>170</v>
      </c>
      <c r="CX24" s="110"/>
      <c r="CY24" s="110"/>
      <c r="CZ24" s="110"/>
      <c r="DB24" s="148">
        <v>0.69799999999999995</v>
      </c>
      <c r="DC24" s="174"/>
      <c r="DD24" s="82"/>
      <c r="DE24" s="148">
        <v>0.63400000000000001</v>
      </c>
      <c r="DF24" s="174"/>
      <c r="DG24" s="175"/>
      <c r="DH24" s="108"/>
      <c r="DI24" s="111"/>
      <c r="DK24" s="92" t="s">
        <v>101</v>
      </c>
      <c r="DL24" s="108"/>
      <c r="DN24" s="92" t="s">
        <v>101</v>
      </c>
      <c r="DO24" s="108"/>
    </row>
    <row r="25" spans="1:119" s="57" customFormat="1" ht="15" customHeight="1" x14ac:dyDescent="0.2">
      <c r="A25" s="98" t="s">
        <v>42</v>
      </c>
      <c r="B25" s="150">
        <v>17.469000000000001</v>
      </c>
      <c r="C25" s="117">
        <v>44.383000000000003</v>
      </c>
      <c r="D25" s="117">
        <v>3.87</v>
      </c>
      <c r="E25" s="135">
        <v>118.48099999999999</v>
      </c>
      <c r="F25" s="151"/>
      <c r="G25" s="152"/>
      <c r="H25" s="134">
        <v>0.09</v>
      </c>
      <c r="I25" s="135">
        <v>7.0000000000000007E-2</v>
      </c>
      <c r="J25" s="117" t="s">
        <v>189</v>
      </c>
      <c r="K25" s="117" t="s">
        <v>206</v>
      </c>
      <c r="L25" s="117">
        <v>0.42199999999999999</v>
      </c>
      <c r="M25" s="135">
        <v>73.882999999999996</v>
      </c>
      <c r="N25" s="151"/>
      <c r="O25" s="152"/>
      <c r="P25" s="134">
        <v>0.13</v>
      </c>
      <c r="Q25" s="135">
        <v>-0.02</v>
      </c>
      <c r="R25" s="117" t="s">
        <v>207</v>
      </c>
      <c r="S25" s="117" t="s">
        <v>208</v>
      </c>
      <c r="T25" s="117">
        <v>0.36399999999999999</v>
      </c>
      <c r="U25" s="117">
        <v>1.54</v>
      </c>
      <c r="V25" s="135">
        <v>1.37</v>
      </c>
      <c r="W25" s="176">
        <v>7.8E-2</v>
      </c>
      <c r="X25" s="153"/>
      <c r="Y25" s="173" t="s">
        <v>209</v>
      </c>
      <c r="Z25" s="155">
        <v>1.63</v>
      </c>
      <c r="AA25" s="156">
        <v>1.67</v>
      </c>
      <c r="AB25" s="156">
        <v>0.04</v>
      </c>
      <c r="AC25" s="156">
        <v>1.45</v>
      </c>
      <c r="AD25" s="156">
        <v>1.5</v>
      </c>
      <c r="AE25" s="157">
        <v>0.05</v>
      </c>
      <c r="AF25" s="57" t="s">
        <v>101</v>
      </c>
      <c r="AG25" s="2"/>
      <c r="AH25" s="2"/>
      <c r="AJ25" s="158">
        <v>-6.4000000000000001E-2</v>
      </c>
      <c r="AK25" s="159">
        <v>-3.5999999999999997E-2</v>
      </c>
      <c r="AM25" s="144">
        <v>1.1000000000000001</v>
      </c>
      <c r="AN25" s="177"/>
      <c r="AP25" s="146">
        <v>0.05</v>
      </c>
      <c r="AQ25" s="57" t="s">
        <v>101</v>
      </c>
      <c r="AR25" s="146">
        <v>50</v>
      </c>
      <c r="AS25" s="146">
        <v>50</v>
      </c>
      <c r="AT25" s="57" t="s">
        <v>101</v>
      </c>
      <c r="AU25" s="146">
        <v>50</v>
      </c>
      <c r="AV25" s="146">
        <v>50</v>
      </c>
      <c r="AW25" s="57" t="s">
        <v>101</v>
      </c>
      <c r="AX25" s="146">
        <v>0.56100000000000005</v>
      </c>
      <c r="AY25" s="146">
        <v>0.626</v>
      </c>
      <c r="AZ25" s="146">
        <v>1.1870000000000001</v>
      </c>
      <c r="BA25" s="57" t="s">
        <v>101</v>
      </c>
      <c r="BB25" s="92" t="s">
        <v>101</v>
      </c>
      <c r="BC25" s="88" t="s">
        <v>170</v>
      </c>
      <c r="BE25" s="92" t="s">
        <v>101</v>
      </c>
      <c r="BF25" s="88" t="s">
        <v>170</v>
      </c>
      <c r="BH25" s="92" t="s">
        <v>101</v>
      </c>
      <c r="BI25" s="88">
        <v>0</v>
      </c>
      <c r="BK25" s="92" t="s">
        <v>101</v>
      </c>
      <c r="BL25" s="88">
        <v>0</v>
      </c>
      <c r="BN25" s="106"/>
      <c r="BP25" s="147">
        <v>0</v>
      </c>
      <c r="BQ25" s="108"/>
      <c r="BS25" s="109"/>
      <c r="BU25" s="92" t="s">
        <v>101</v>
      </c>
      <c r="BV25" s="88">
        <v>0</v>
      </c>
      <c r="BX25" s="92" t="s">
        <v>101</v>
      </c>
      <c r="BY25" s="88">
        <v>0</v>
      </c>
      <c r="CA25" s="148">
        <v>2.91</v>
      </c>
      <c r="CC25" s="148">
        <v>2.41</v>
      </c>
      <c r="CE25" s="92" t="s">
        <v>101</v>
      </c>
      <c r="CF25" s="92" t="s">
        <v>101</v>
      </c>
      <c r="CH25" s="109"/>
      <c r="CJ25" s="92" t="s">
        <v>101</v>
      </c>
      <c r="CK25" s="108"/>
      <c r="CM25" s="92" t="s">
        <v>101</v>
      </c>
      <c r="CN25" s="108"/>
      <c r="CP25" s="92" t="s">
        <v>101</v>
      </c>
      <c r="CQ25" s="92" t="s">
        <v>170</v>
      </c>
      <c r="CR25" s="110"/>
      <c r="CS25" s="110"/>
      <c r="CT25" s="110"/>
      <c r="CV25" s="92" t="s">
        <v>101</v>
      </c>
      <c r="CW25" s="92" t="s">
        <v>170</v>
      </c>
      <c r="CX25" s="110"/>
      <c r="CY25" s="110"/>
      <c r="CZ25" s="110"/>
      <c r="DB25" s="148">
        <v>0.74399999999999999</v>
      </c>
      <c r="DC25" s="148">
        <v>0.65700000000000003</v>
      </c>
      <c r="DD25" s="82"/>
      <c r="DE25" s="148">
        <v>0.68899999999999995</v>
      </c>
      <c r="DF25" s="148">
        <v>0.52700000000000002</v>
      </c>
      <c r="DG25" s="175"/>
      <c r="DH25" s="108"/>
      <c r="DI25" s="91" t="s">
        <v>165</v>
      </c>
      <c r="DK25" s="92" t="s">
        <v>101</v>
      </c>
      <c r="DL25" s="108"/>
      <c r="DN25" s="92" t="s">
        <v>101</v>
      </c>
      <c r="DO25" s="108"/>
    </row>
    <row r="26" spans="1:119" s="57" customFormat="1" ht="15" customHeight="1" thickBot="1" x14ac:dyDescent="0.25">
      <c r="A26" s="98" t="s">
        <v>43</v>
      </c>
      <c r="B26" s="150">
        <v>18.640999999999998</v>
      </c>
      <c r="C26" s="117">
        <v>46.432000000000002</v>
      </c>
      <c r="D26" s="117">
        <v>3.7360000000000002</v>
      </c>
      <c r="E26" s="135">
        <v>120.616</v>
      </c>
      <c r="F26" s="151"/>
      <c r="G26" s="152"/>
      <c r="H26" s="134">
        <v>0.11</v>
      </c>
      <c r="I26" s="135">
        <v>7.0000000000000007E-2</v>
      </c>
      <c r="J26" s="117" t="s">
        <v>189</v>
      </c>
      <c r="K26" s="117" t="s">
        <v>210</v>
      </c>
      <c r="L26" s="117">
        <v>0.41399999999999998</v>
      </c>
      <c r="M26" s="135">
        <v>79.3</v>
      </c>
      <c r="N26" s="151"/>
      <c r="O26" s="152"/>
      <c r="P26" s="134">
        <v>0.14000000000000001</v>
      </c>
      <c r="Q26" s="135">
        <v>0.04</v>
      </c>
      <c r="R26" s="117" t="s">
        <v>211</v>
      </c>
      <c r="S26" s="117" t="s">
        <v>212</v>
      </c>
      <c r="T26" s="117">
        <v>0.39900000000000002</v>
      </c>
      <c r="U26" s="117">
        <v>1.5</v>
      </c>
      <c r="V26" s="118">
        <v>1.44</v>
      </c>
      <c r="W26" s="153"/>
      <c r="X26" s="153"/>
      <c r="Y26" s="173" t="s">
        <v>213</v>
      </c>
      <c r="Z26" s="155">
        <v>1.6</v>
      </c>
      <c r="AA26" s="156">
        <v>1.63</v>
      </c>
      <c r="AB26" s="156">
        <v>0.03</v>
      </c>
      <c r="AC26" s="156">
        <v>1.55</v>
      </c>
      <c r="AD26" s="156">
        <v>1.59</v>
      </c>
      <c r="AE26" s="157">
        <v>0.04</v>
      </c>
      <c r="AF26" s="57" t="s">
        <v>101</v>
      </c>
      <c r="AG26" s="2"/>
      <c r="AH26" s="2"/>
      <c r="AJ26" s="158">
        <v>-6.2E-2</v>
      </c>
      <c r="AK26" s="159">
        <v>0.12</v>
      </c>
      <c r="AM26" s="160"/>
      <c r="AN26" s="145"/>
      <c r="AP26" s="146">
        <v>0.11000000000000001</v>
      </c>
      <c r="AQ26" s="57" t="s">
        <v>101</v>
      </c>
      <c r="AR26" s="146">
        <v>50</v>
      </c>
      <c r="AS26" s="146">
        <v>50</v>
      </c>
      <c r="AT26" s="57" t="s">
        <v>101</v>
      </c>
      <c r="AU26" s="146">
        <v>50</v>
      </c>
      <c r="AV26" s="146">
        <v>50</v>
      </c>
      <c r="AW26" s="57" t="s">
        <v>101</v>
      </c>
      <c r="AX26" s="146">
        <v>0.56499999999999995</v>
      </c>
      <c r="AY26" s="146">
        <v>0.63900000000000001</v>
      </c>
      <c r="AZ26" s="146">
        <v>1.204</v>
      </c>
      <c r="BA26" s="57" t="s">
        <v>101</v>
      </c>
      <c r="BB26" s="88" t="s">
        <v>101</v>
      </c>
      <c r="BC26" s="88" t="s">
        <v>170</v>
      </c>
      <c r="BE26" s="88" t="s">
        <v>101</v>
      </c>
      <c r="BF26" s="88" t="s">
        <v>170</v>
      </c>
      <c r="BH26" s="92" t="s">
        <v>101</v>
      </c>
      <c r="BI26" s="92" t="s">
        <v>171</v>
      </c>
      <c r="BK26" s="92" t="s">
        <v>101</v>
      </c>
      <c r="BL26" s="92" t="s">
        <v>171</v>
      </c>
      <c r="BN26" s="106"/>
      <c r="BP26" s="147">
        <v>0</v>
      </c>
      <c r="BQ26" s="108"/>
      <c r="BS26" s="178"/>
      <c r="BU26" s="92" t="s">
        <v>101</v>
      </c>
      <c r="BV26" s="92" t="s">
        <v>171</v>
      </c>
      <c r="BX26" s="92" t="s">
        <v>101</v>
      </c>
      <c r="BY26" s="92" t="s">
        <v>171</v>
      </c>
      <c r="CA26" s="148">
        <v>2.94</v>
      </c>
      <c r="CC26" s="148">
        <v>2.42</v>
      </c>
      <c r="CE26" s="92" t="s">
        <v>101</v>
      </c>
      <c r="CF26" s="92" t="s">
        <v>101</v>
      </c>
      <c r="CH26" s="109"/>
      <c r="CJ26" s="92" t="s">
        <v>101</v>
      </c>
      <c r="CK26" s="108"/>
      <c r="CM26" s="92" t="s">
        <v>101</v>
      </c>
      <c r="CN26" s="108"/>
      <c r="CP26" s="92" t="s">
        <v>101</v>
      </c>
      <c r="CQ26" s="92" t="s">
        <v>170</v>
      </c>
      <c r="CR26" s="110"/>
      <c r="CS26" s="110"/>
      <c r="CT26" s="110"/>
      <c r="CV26" s="92" t="s">
        <v>101</v>
      </c>
      <c r="CW26" s="92" t="s">
        <v>170</v>
      </c>
      <c r="CX26" s="110"/>
      <c r="CY26" s="110"/>
      <c r="CZ26" s="110"/>
      <c r="DB26" s="148">
        <v>0.70099999999999996</v>
      </c>
      <c r="DC26" s="148">
        <v>0.67800000000000005</v>
      </c>
      <c r="DD26" s="82"/>
      <c r="DE26" s="148">
        <v>0.65700000000000003</v>
      </c>
      <c r="DF26" s="148">
        <v>0.54100000000000004</v>
      </c>
      <c r="DG26" s="175"/>
      <c r="DH26" s="108"/>
      <c r="DI26" s="108"/>
      <c r="DK26" s="92" t="s">
        <v>101</v>
      </c>
      <c r="DL26" s="108"/>
      <c r="DN26" s="92" t="s">
        <v>101</v>
      </c>
      <c r="DO26" s="108"/>
    </row>
    <row r="27" spans="1:119" s="57" customFormat="1" ht="15" customHeight="1" x14ac:dyDescent="0.2">
      <c r="A27" s="98" t="s">
        <v>44</v>
      </c>
      <c r="B27" s="150">
        <v>19.638999999999999</v>
      </c>
      <c r="C27" s="117">
        <v>48.579000000000001</v>
      </c>
      <c r="D27" s="117">
        <v>3.5870000000000002</v>
      </c>
      <c r="E27" s="135">
        <v>122.193</v>
      </c>
      <c r="F27" s="151"/>
      <c r="G27" s="152"/>
      <c r="H27" s="134">
        <v>0.08</v>
      </c>
      <c r="I27" s="135">
        <v>0.03</v>
      </c>
      <c r="J27" s="117" t="s">
        <v>189</v>
      </c>
      <c r="K27" s="117" t="s">
        <v>214</v>
      </c>
      <c r="L27" s="117">
        <v>0.41899999999999998</v>
      </c>
      <c r="M27" s="135">
        <v>84.013000000000005</v>
      </c>
      <c r="N27" s="151"/>
      <c r="O27" s="152"/>
      <c r="P27" s="134">
        <v>0.16</v>
      </c>
      <c r="Q27" s="135">
        <v>0.11</v>
      </c>
      <c r="R27" s="117" t="s">
        <v>215</v>
      </c>
      <c r="S27" s="117" t="s">
        <v>216</v>
      </c>
      <c r="T27" s="117">
        <v>0.54400000000000004</v>
      </c>
      <c r="U27" s="117">
        <v>1.45</v>
      </c>
      <c r="V27" s="118">
        <v>1.53</v>
      </c>
      <c r="W27" s="153"/>
      <c r="X27" s="153"/>
      <c r="Y27" s="173" t="s">
        <v>217</v>
      </c>
      <c r="Z27" s="155">
        <v>1.53</v>
      </c>
      <c r="AA27" s="156">
        <v>1.56</v>
      </c>
      <c r="AB27" s="156">
        <v>0.03</v>
      </c>
      <c r="AC27" s="156">
        <v>1.64</v>
      </c>
      <c r="AD27" s="156">
        <v>1.67</v>
      </c>
      <c r="AE27" s="157">
        <v>0.03</v>
      </c>
      <c r="AF27" s="57" t="s">
        <v>101</v>
      </c>
      <c r="AG27" s="2"/>
      <c r="AH27" s="2"/>
      <c r="AJ27" s="158">
        <v>-7.0000000000000007E-2</v>
      </c>
      <c r="AK27" s="159">
        <v>0.184</v>
      </c>
      <c r="AM27" s="160"/>
      <c r="AN27" s="145"/>
      <c r="AP27" s="146">
        <v>0.14000000000000001</v>
      </c>
      <c r="AQ27" s="57" t="s">
        <v>101</v>
      </c>
      <c r="AR27" s="146">
        <v>50</v>
      </c>
      <c r="AS27" s="146">
        <v>50</v>
      </c>
      <c r="AT27" s="57" t="s">
        <v>101</v>
      </c>
      <c r="AU27" s="146">
        <v>50</v>
      </c>
      <c r="AV27" s="146">
        <v>50</v>
      </c>
      <c r="AW27" s="57" t="s">
        <v>101</v>
      </c>
      <c r="AX27" s="146">
        <v>0.55900000000000005</v>
      </c>
      <c r="AY27" s="146">
        <v>0.64900000000000002</v>
      </c>
      <c r="AZ27" s="146">
        <v>1.2080000000000002</v>
      </c>
      <c r="BA27" s="57" t="s">
        <v>101</v>
      </c>
      <c r="BB27" s="179" t="s">
        <v>101</v>
      </c>
      <c r="BC27" s="179" t="s">
        <v>170</v>
      </c>
      <c r="BE27" s="179" t="s">
        <v>101</v>
      </c>
      <c r="BF27" s="179" t="s">
        <v>170</v>
      </c>
      <c r="BN27" s="106"/>
      <c r="BP27" s="147">
        <v>0</v>
      </c>
      <c r="BQ27" s="108"/>
      <c r="BS27" s="178" t="s">
        <v>101</v>
      </c>
      <c r="BU27" s="180"/>
      <c r="BV27" s="180"/>
      <c r="BW27" s="85"/>
      <c r="BX27" s="180"/>
      <c r="BY27" s="180"/>
      <c r="BZ27" s="85"/>
      <c r="CA27" s="103"/>
      <c r="CB27" s="85"/>
      <c r="CC27" s="103"/>
      <c r="CE27" s="92" t="s">
        <v>101</v>
      </c>
      <c r="CF27" s="92" t="s">
        <v>101</v>
      </c>
      <c r="CH27" s="109"/>
      <c r="CJ27" s="92" t="s">
        <v>101</v>
      </c>
      <c r="CK27" s="108"/>
      <c r="CM27" s="92" t="s">
        <v>101</v>
      </c>
      <c r="CN27" s="108"/>
      <c r="CP27" s="92" t="s">
        <v>101</v>
      </c>
      <c r="CQ27" s="92" t="s">
        <v>170</v>
      </c>
      <c r="CR27" s="110"/>
      <c r="CS27" s="110"/>
      <c r="CT27" s="110"/>
      <c r="CV27" s="92" t="s">
        <v>101</v>
      </c>
      <c r="CW27" s="92" t="s">
        <v>170</v>
      </c>
      <c r="CX27" s="110"/>
      <c r="CY27" s="110"/>
      <c r="CZ27" s="110"/>
      <c r="DB27" s="148">
        <v>0.79600000000000004</v>
      </c>
      <c r="DC27" s="148">
        <v>0.72</v>
      </c>
      <c r="DD27" s="82"/>
      <c r="DE27" s="148">
        <v>0.73699999999999999</v>
      </c>
      <c r="DF27" s="148">
        <v>0.55700000000000005</v>
      </c>
      <c r="DG27" s="175"/>
      <c r="DH27" s="108"/>
      <c r="DI27" s="108"/>
      <c r="DK27" s="92" t="s">
        <v>101</v>
      </c>
      <c r="DL27" s="108"/>
      <c r="DN27" s="92" t="s">
        <v>101</v>
      </c>
      <c r="DO27" s="108"/>
    </row>
    <row r="28" spans="1:119" s="57" customFormat="1" ht="15" customHeight="1" x14ac:dyDescent="0.2">
      <c r="A28" s="98" t="s">
        <v>45</v>
      </c>
      <c r="B28" s="150">
        <v>20.789000000000001</v>
      </c>
      <c r="C28" s="117">
        <v>50.8</v>
      </c>
      <c r="D28" s="117">
        <v>3.4359999999999999</v>
      </c>
      <c r="E28" s="135">
        <v>123.26</v>
      </c>
      <c r="F28" s="151"/>
      <c r="G28" s="152"/>
      <c r="H28" s="134">
        <v>0.09</v>
      </c>
      <c r="I28" s="135">
        <v>-0.02</v>
      </c>
      <c r="J28" s="117" t="s">
        <v>189</v>
      </c>
      <c r="K28" s="117" t="s">
        <v>218</v>
      </c>
      <c r="L28" s="117">
        <v>0.47599999999999998</v>
      </c>
      <c r="M28" s="135">
        <v>87.774000000000001</v>
      </c>
      <c r="N28" s="151"/>
      <c r="O28" s="152"/>
      <c r="P28" s="134">
        <v>0.17</v>
      </c>
      <c r="Q28" s="135">
        <v>0.14000000000000001</v>
      </c>
      <c r="R28" s="117" t="s">
        <v>215</v>
      </c>
      <c r="S28" s="117" t="s">
        <v>219</v>
      </c>
      <c r="T28" s="117">
        <v>0.65</v>
      </c>
      <c r="U28" s="117">
        <v>1.36</v>
      </c>
      <c r="V28" s="118">
        <v>1.57</v>
      </c>
      <c r="W28" s="153"/>
      <c r="X28" s="153"/>
      <c r="Y28" s="173" t="s">
        <v>220</v>
      </c>
      <c r="Z28" s="155">
        <v>1.4</v>
      </c>
      <c r="AA28" s="156">
        <v>1.43</v>
      </c>
      <c r="AB28" s="156">
        <v>0.03</v>
      </c>
      <c r="AC28" s="156">
        <v>1.69</v>
      </c>
      <c r="AD28" s="156">
        <v>1.72</v>
      </c>
      <c r="AE28" s="157">
        <v>0.03</v>
      </c>
      <c r="AF28" s="57" t="s">
        <v>101</v>
      </c>
      <c r="AG28" s="2"/>
      <c r="AH28" s="2"/>
      <c r="AJ28" s="158">
        <v>-5.7000000000000002E-2</v>
      </c>
      <c r="AK28" s="159">
        <v>0.24099999999999999</v>
      </c>
      <c r="AM28" s="160"/>
      <c r="AN28" s="145"/>
      <c r="AP28" s="146">
        <v>0.12000000000000001</v>
      </c>
      <c r="AQ28" s="57" t="s">
        <v>101</v>
      </c>
      <c r="AR28" s="146">
        <v>50</v>
      </c>
      <c r="AS28" s="146">
        <v>50</v>
      </c>
      <c r="AT28" s="57" t="s">
        <v>101</v>
      </c>
      <c r="AU28" s="146">
        <v>50</v>
      </c>
      <c r="AV28" s="146">
        <v>50</v>
      </c>
      <c r="AW28" s="57" t="s">
        <v>101</v>
      </c>
      <c r="AX28" s="146">
        <v>0.55400000000000005</v>
      </c>
      <c r="AY28" s="146">
        <v>0.65200000000000002</v>
      </c>
      <c r="AZ28" s="146">
        <v>1.206</v>
      </c>
      <c r="BA28" s="57" t="s">
        <v>101</v>
      </c>
      <c r="BB28" s="92" t="s">
        <v>101</v>
      </c>
      <c r="BC28" s="88" t="s">
        <v>170</v>
      </c>
      <c r="BE28" s="92" t="s">
        <v>101</v>
      </c>
      <c r="BF28" s="88" t="s">
        <v>170</v>
      </c>
      <c r="BN28" s="106"/>
      <c r="BP28" s="147">
        <v>0</v>
      </c>
      <c r="BQ28" s="108"/>
      <c r="BS28" s="148" t="s">
        <v>101</v>
      </c>
      <c r="BU28" s="180"/>
      <c r="BV28" s="180"/>
      <c r="BW28" s="85"/>
      <c r="BX28" s="180"/>
      <c r="BY28" s="180"/>
      <c r="BZ28" s="85"/>
      <c r="CA28" s="103"/>
      <c r="CB28" s="85"/>
      <c r="CC28" s="103"/>
      <c r="CE28" s="92" t="s">
        <v>101</v>
      </c>
      <c r="CF28" s="92" t="s">
        <v>101</v>
      </c>
      <c r="CH28" s="109"/>
      <c r="CJ28" s="92" t="s">
        <v>101</v>
      </c>
      <c r="CK28" s="108"/>
      <c r="CM28" s="92" t="s">
        <v>101</v>
      </c>
      <c r="CN28" s="108"/>
      <c r="CP28" s="92" t="s">
        <v>101</v>
      </c>
      <c r="CQ28" s="92" t="s">
        <v>170</v>
      </c>
      <c r="CR28" s="110"/>
      <c r="CS28" s="110"/>
      <c r="CT28" s="110"/>
      <c r="CV28" s="92" t="s">
        <v>101</v>
      </c>
      <c r="CW28" s="92" t="s">
        <v>170</v>
      </c>
      <c r="CX28" s="110"/>
      <c r="CY28" s="110"/>
      <c r="CZ28" s="110"/>
      <c r="DB28" s="148">
        <v>0.71499999999999997</v>
      </c>
      <c r="DC28" s="148">
        <v>0.71</v>
      </c>
      <c r="DD28" s="82"/>
      <c r="DE28" s="148">
        <v>0.66100000000000003</v>
      </c>
      <c r="DF28" s="148">
        <v>0.53800000000000003</v>
      </c>
      <c r="DG28" s="175"/>
      <c r="DH28" s="108"/>
      <c r="DI28" s="108"/>
      <c r="DK28" s="92" t="s">
        <v>101</v>
      </c>
      <c r="DL28" s="108"/>
      <c r="DN28" s="92" t="s">
        <v>101</v>
      </c>
      <c r="DO28" s="108"/>
    </row>
    <row r="29" spans="1:119" s="57" customFormat="1" ht="15" customHeight="1" x14ac:dyDescent="0.2">
      <c r="A29" s="98" t="s">
        <v>46</v>
      </c>
      <c r="B29" s="150">
        <v>21.49</v>
      </c>
      <c r="C29" s="117">
        <v>52.707999999999998</v>
      </c>
      <c r="D29" s="117">
        <v>3.3090000000000002</v>
      </c>
      <c r="E29" s="135">
        <v>123.10599999999999</v>
      </c>
      <c r="F29" s="151"/>
      <c r="G29" s="152"/>
      <c r="H29" s="134">
        <v>0.08</v>
      </c>
      <c r="I29" s="135">
        <v>0.03</v>
      </c>
      <c r="J29" s="117" t="s">
        <v>166</v>
      </c>
      <c r="K29" s="117" t="s">
        <v>221</v>
      </c>
      <c r="L29" s="117">
        <v>0.51400000000000001</v>
      </c>
      <c r="M29" s="135">
        <v>88.79</v>
      </c>
      <c r="N29" s="151"/>
      <c r="O29" s="152"/>
      <c r="P29" s="134">
        <v>0.18</v>
      </c>
      <c r="Q29" s="135">
        <v>0.14000000000000001</v>
      </c>
      <c r="R29" s="117" t="s">
        <v>215</v>
      </c>
      <c r="S29" s="117" t="s">
        <v>222</v>
      </c>
      <c r="T29" s="117">
        <v>0.64600000000000002</v>
      </c>
      <c r="U29" s="117">
        <v>1.36</v>
      </c>
      <c r="V29" s="118">
        <v>1.57</v>
      </c>
      <c r="W29" s="153"/>
      <c r="X29" s="153"/>
      <c r="Y29" s="173" t="s">
        <v>223</v>
      </c>
      <c r="Z29" s="155">
        <v>1.39</v>
      </c>
      <c r="AA29" s="156">
        <v>1.42</v>
      </c>
      <c r="AB29" s="156">
        <v>0.03</v>
      </c>
      <c r="AC29" s="156">
        <v>1.67</v>
      </c>
      <c r="AD29" s="156">
        <v>1.7</v>
      </c>
      <c r="AE29" s="157">
        <v>0.03</v>
      </c>
      <c r="AF29" s="57" t="s">
        <v>101</v>
      </c>
      <c r="AG29" s="2"/>
      <c r="AH29" s="2"/>
      <c r="AJ29" s="158">
        <v>-0.05</v>
      </c>
      <c r="AK29" s="159">
        <v>0.29499999999999998</v>
      </c>
      <c r="AM29" s="160"/>
      <c r="AN29" s="145"/>
      <c r="AP29" s="146">
        <v>0.17</v>
      </c>
      <c r="AQ29" s="57" t="s">
        <v>101</v>
      </c>
      <c r="AR29" s="146">
        <v>50</v>
      </c>
      <c r="AS29" s="146">
        <v>50</v>
      </c>
      <c r="AT29" s="57" t="s">
        <v>101</v>
      </c>
      <c r="AU29" s="146">
        <v>50</v>
      </c>
      <c r="AV29" s="146">
        <v>50</v>
      </c>
      <c r="AW29" s="57" t="s">
        <v>101</v>
      </c>
      <c r="AX29" s="146">
        <v>0.54400000000000004</v>
      </c>
      <c r="AY29" s="146">
        <v>0.64900000000000002</v>
      </c>
      <c r="AZ29" s="146">
        <v>1.1930000000000001</v>
      </c>
      <c r="BA29" s="57" t="s">
        <v>101</v>
      </c>
      <c r="BB29" s="92" t="s">
        <v>101</v>
      </c>
      <c r="BC29" s="88" t="s">
        <v>170</v>
      </c>
      <c r="BE29" s="92" t="s">
        <v>101</v>
      </c>
      <c r="BF29" s="88" t="s">
        <v>170</v>
      </c>
      <c r="BN29" s="106"/>
      <c r="BP29" s="147">
        <v>0</v>
      </c>
      <c r="BQ29" s="108"/>
      <c r="BS29" s="148" t="s">
        <v>101</v>
      </c>
      <c r="BU29" s="180"/>
      <c r="BV29" s="180"/>
      <c r="BW29" s="85"/>
      <c r="BX29" s="180"/>
      <c r="BY29" s="180"/>
      <c r="BZ29" s="85"/>
      <c r="CA29" s="103"/>
      <c r="CB29" s="85"/>
      <c r="CC29" s="103"/>
      <c r="CE29" s="92" t="s">
        <v>101</v>
      </c>
      <c r="CF29" s="92" t="s">
        <v>101</v>
      </c>
      <c r="CH29" s="109"/>
      <c r="CJ29" s="92" t="s">
        <v>101</v>
      </c>
      <c r="CK29" s="108"/>
      <c r="CM29" s="92" t="s">
        <v>101</v>
      </c>
      <c r="CN29" s="108"/>
      <c r="CP29" s="92" t="s">
        <v>101</v>
      </c>
      <c r="CQ29" s="92" t="s">
        <v>170</v>
      </c>
      <c r="CR29" s="110"/>
      <c r="CS29" s="110"/>
      <c r="CT29" s="110"/>
      <c r="CV29" s="92" t="s">
        <v>101</v>
      </c>
      <c r="CW29" s="92" t="s">
        <v>170</v>
      </c>
      <c r="CX29" s="110"/>
      <c r="CY29" s="110"/>
      <c r="CZ29" s="110"/>
      <c r="DB29" s="148">
        <v>0.66900000000000004</v>
      </c>
      <c r="DC29" s="148">
        <v>0.753</v>
      </c>
      <c r="DD29" s="82"/>
      <c r="DE29" s="148">
        <v>0.625</v>
      </c>
      <c r="DF29" s="148">
        <v>0.57399999999999995</v>
      </c>
      <c r="DG29" s="175"/>
      <c r="DH29" s="108"/>
      <c r="DI29" s="108"/>
      <c r="DK29" s="92" t="s">
        <v>101</v>
      </c>
      <c r="DL29" s="108"/>
      <c r="DN29" s="92" t="s">
        <v>101</v>
      </c>
      <c r="DO29" s="108"/>
    </row>
    <row r="30" spans="1:119" s="57" customFormat="1" ht="15" customHeight="1" x14ac:dyDescent="0.2">
      <c r="A30" s="98" t="s">
        <v>47</v>
      </c>
      <c r="B30" s="150">
        <v>22.280999999999999</v>
      </c>
      <c r="C30" s="117">
        <v>54.723999999999997</v>
      </c>
      <c r="D30" s="117">
        <v>3.2240000000000002</v>
      </c>
      <c r="E30" s="135">
        <v>119.702</v>
      </c>
      <c r="F30" s="151"/>
      <c r="G30" s="152"/>
      <c r="H30" s="134">
        <v>0.11</v>
      </c>
      <c r="I30" s="135">
        <v>0</v>
      </c>
      <c r="J30" s="117" t="s">
        <v>176</v>
      </c>
      <c r="K30" s="117" t="s">
        <v>224</v>
      </c>
      <c r="L30" s="117">
        <v>0.57299999999999995</v>
      </c>
      <c r="M30" s="135">
        <v>85.355000000000004</v>
      </c>
      <c r="N30" s="151"/>
      <c r="O30" s="152"/>
      <c r="P30" s="134">
        <v>0.18</v>
      </c>
      <c r="Q30" s="135">
        <v>0.15</v>
      </c>
      <c r="R30" s="117" t="s">
        <v>225</v>
      </c>
      <c r="S30" s="117" t="s">
        <v>222</v>
      </c>
      <c r="T30" s="117">
        <v>0.65900000000000003</v>
      </c>
      <c r="U30" s="117">
        <v>1.29</v>
      </c>
      <c r="V30" s="135">
        <v>1.56</v>
      </c>
      <c r="W30" s="181">
        <v>0.313</v>
      </c>
      <c r="X30" s="181">
        <v>0.23799999999999999</v>
      </c>
      <c r="Y30" s="182" t="s">
        <v>226</v>
      </c>
      <c r="Z30" s="155">
        <v>1.31</v>
      </c>
      <c r="AA30" s="156">
        <v>1.35</v>
      </c>
      <c r="AB30" s="156">
        <v>0.04</v>
      </c>
      <c r="AC30" s="156">
        <v>1.69</v>
      </c>
      <c r="AD30" s="156">
        <v>1.73</v>
      </c>
      <c r="AE30" s="157">
        <v>0.04</v>
      </c>
      <c r="AF30" s="57" t="s">
        <v>101</v>
      </c>
      <c r="AG30" s="2"/>
      <c r="AH30" s="2"/>
      <c r="AJ30" s="158">
        <v>-0.25900000000000001</v>
      </c>
      <c r="AK30" s="159">
        <v>-0.17199999999999999</v>
      </c>
      <c r="AM30" s="183">
        <v>1.72</v>
      </c>
      <c r="AN30" s="184">
        <v>1.05</v>
      </c>
      <c r="AP30" s="146">
        <v>0.15</v>
      </c>
      <c r="AQ30" s="57" t="s">
        <v>101</v>
      </c>
      <c r="AR30" s="146">
        <v>50</v>
      </c>
      <c r="AS30" s="146">
        <v>50</v>
      </c>
      <c r="AT30" s="57" t="s">
        <v>101</v>
      </c>
      <c r="AU30" s="146">
        <v>50</v>
      </c>
      <c r="AV30" s="146">
        <v>50</v>
      </c>
      <c r="AW30" s="57" t="s">
        <v>101</v>
      </c>
      <c r="AX30" s="146">
        <v>0.54500000000000004</v>
      </c>
      <c r="AY30" s="146">
        <v>0.65300000000000002</v>
      </c>
      <c r="AZ30" s="146">
        <v>1.198</v>
      </c>
      <c r="BA30" s="57" t="s">
        <v>101</v>
      </c>
      <c r="BB30" s="92" t="s">
        <v>101</v>
      </c>
      <c r="BC30" s="88" t="s">
        <v>170</v>
      </c>
      <c r="BE30" s="92" t="s">
        <v>101</v>
      </c>
      <c r="BF30" s="88" t="s">
        <v>170</v>
      </c>
      <c r="BN30" s="106"/>
      <c r="BP30" s="147">
        <v>0</v>
      </c>
      <c r="BQ30" s="108"/>
      <c r="BS30" s="148" t="s">
        <v>101</v>
      </c>
      <c r="BU30" s="180"/>
      <c r="BV30" s="180"/>
      <c r="BW30" s="85"/>
      <c r="BX30" s="180"/>
      <c r="BY30" s="180"/>
      <c r="BZ30" s="85"/>
      <c r="CA30" s="103"/>
      <c r="CB30" s="85"/>
      <c r="CC30" s="103"/>
      <c r="CE30" s="92" t="s">
        <v>101</v>
      </c>
      <c r="CF30" s="92" t="s">
        <v>101</v>
      </c>
      <c r="CH30" s="109"/>
      <c r="CJ30" s="92" t="s">
        <v>101</v>
      </c>
      <c r="CK30" s="108"/>
      <c r="CM30" s="92" t="s">
        <v>101</v>
      </c>
      <c r="CN30" s="108"/>
      <c r="CP30" s="92" t="s">
        <v>101</v>
      </c>
      <c r="CQ30" s="92" t="s">
        <v>170</v>
      </c>
      <c r="CR30" s="110"/>
      <c r="CS30" s="110"/>
      <c r="CT30" s="110"/>
      <c r="CV30" s="92" t="s">
        <v>101</v>
      </c>
      <c r="CW30" s="92" t="s">
        <v>170</v>
      </c>
      <c r="CX30" s="110"/>
      <c r="CY30" s="110"/>
      <c r="CZ30" s="110"/>
      <c r="DB30" s="148">
        <v>0.60799999999999998</v>
      </c>
      <c r="DC30" s="148">
        <v>0.76300000000000001</v>
      </c>
      <c r="DD30" s="82"/>
      <c r="DE30" s="148">
        <v>0.57399999999999995</v>
      </c>
      <c r="DF30" s="148">
        <v>0.57799999999999996</v>
      </c>
      <c r="DG30" s="175"/>
      <c r="DH30" s="108"/>
      <c r="DI30" s="108"/>
      <c r="DK30" s="92" t="s">
        <v>101</v>
      </c>
      <c r="DL30" s="108"/>
      <c r="DN30" s="92" t="s">
        <v>101</v>
      </c>
      <c r="DO30" s="108"/>
    </row>
    <row r="31" spans="1:119" s="57" customFormat="1" ht="15" customHeight="1" x14ac:dyDescent="0.2">
      <c r="A31" s="98" t="s">
        <v>48</v>
      </c>
      <c r="B31" s="150">
        <v>22.948</v>
      </c>
      <c r="C31" s="117">
        <v>56.264000000000003</v>
      </c>
      <c r="D31" s="117">
        <v>3.1339999999999999</v>
      </c>
      <c r="E31" s="135">
        <v>114.35599999999999</v>
      </c>
      <c r="F31" s="151"/>
      <c r="G31" s="152"/>
      <c r="H31" s="134">
        <v>0.09</v>
      </c>
      <c r="I31" s="135">
        <v>-0.09</v>
      </c>
      <c r="J31" s="117" t="s">
        <v>189</v>
      </c>
      <c r="K31" s="117" t="s">
        <v>227</v>
      </c>
      <c r="L31" s="117">
        <v>0.63100000000000001</v>
      </c>
      <c r="M31" s="135">
        <v>80.260000000000005</v>
      </c>
      <c r="N31" s="151"/>
      <c r="O31" s="152"/>
      <c r="P31" s="134">
        <v>0.23</v>
      </c>
      <c r="Q31" s="135">
        <v>0.16</v>
      </c>
      <c r="R31" s="117" t="s">
        <v>228</v>
      </c>
      <c r="S31" s="117" t="s">
        <v>229</v>
      </c>
      <c r="T31" s="117">
        <v>0.67900000000000005</v>
      </c>
      <c r="U31" s="117">
        <v>1.18</v>
      </c>
      <c r="V31" s="118">
        <v>1.57</v>
      </c>
      <c r="W31" s="153"/>
      <c r="X31" s="153"/>
      <c r="Y31" s="173" t="s">
        <v>230</v>
      </c>
      <c r="Z31" s="155">
        <v>1.22</v>
      </c>
      <c r="AA31" s="156">
        <v>1.26</v>
      </c>
      <c r="AB31" s="156">
        <v>0.04</v>
      </c>
      <c r="AC31" s="156">
        <v>1.7</v>
      </c>
      <c r="AD31" s="156">
        <v>1.75</v>
      </c>
      <c r="AE31" s="157">
        <v>0.05</v>
      </c>
      <c r="AF31" s="57" t="s">
        <v>101</v>
      </c>
      <c r="AG31" s="2"/>
      <c r="AH31" s="2"/>
      <c r="AJ31" s="158">
        <v>-0.02</v>
      </c>
      <c r="AK31" s="159">
        <v>0.3</v>
      </c>
      <c r="AM31" s="160"/>
      <c r="AN31" s="160"/>
      <c r="AP31" s="146">
        <v>7.0000000000000007E-2</v>
      </c>
      <c r="AQ31" s="57" t="s">
        <v>101</v>
      </c>
      <c r="AR31" s="146">
        <v>50</v>
      </c>
      <c r="AS31" s="146">
        <v>50</v>
      </c>
      <c r="AT31" s="57" t="s">
        <v>101</v>
      </c>
      <c r="AU31" s="146">
        <v>50</v>
      </c>
      <c r="AV31" s="146">
        <v>50</v>
      </c>
      <c r="AW31" s="57" t="s">
        <v>101</v>
      </c>
      <c r="AX31" s="146">
        <v>0.53500000000000003</v>
      </c>
      <c r="AY31" s="146">
        <v>0.67600000000000005</v>
      </c>
      <c r="AZ31" s="146">
        <v>1.2110000000000001</v>
      </c>
      <c r="BA31" s="57" t="s">
        <v>101</v>
      </c>
      <c r="BB31" s="92" t="s">
        <v>101</v>
      </c>
      <c r="BC31" s="92" t="s">
        <v>170</v>
      </c>
      <c r="BE31" s="92" t="s">
        <v>101</v>
      </c>
      <c r="BF31" s="88" t="s">
        <v>170</v>
      </c>
      <c r="BN31" s="106"/>
      <c r="BP31" s="147">
        <v>0</v>
      </c>
      <c r="BQ31" s="108"/>
      <c r="BS31" s="148" t="s">
        <v>101</v>
      </c>
      <c r="BU31" s="180"/>
      <c r="BV31" s="180"/>
      <c r="BW31" s="85"/>
      <c r="BX31" s="180"/>
      <c r="BY31" s="180"/>
      <c r="BZ31" s="85"/>
      <c r="CA31" s="103"/>
      <c r="CB31" s="85"/>
      <c r="CC31" s="103"/>
      <c r="CE31" s="92" t="s">
        <v>101</v>
      </c>
      <c r="CF31" s="92" t="s">
        <v>101</v>
      </c>
      <c r="CH31" s="109"/>
      <c r="CJ31" s="92" t="s">
        <v>101</v>
      </c>
      <c r="CK31" s="108"/>
      <c r="CM31" s="92" t="s">
        <v>101</v>
      </c>
      <c r="CN31" s="108"/>
      <c r="CP31" s="92" t="s">
        <v>101</v>
      </c>
      <c r="CQ31" s="92" t="s">
        <v>170</v>
      </c>
      <c r="CR31" s="110"/>
      <c r="CS31" s="110"/>
      <c r="CT31" s="110"/>
      <c r="CV31" s="92" t="s">
        <v>101</v>
      </c>
      <c r="CW31" s="92" t="s">
        <v>170</v>
      </c>
      <c r="CX31" s="110"/>
      <c r="CY31" s="110"/>
      <c r="CZ31" s="110"/>
      <c r="DB31" s="148">
        <v>0.627</v>
      </c>
      <c r="DC31" s="148">
        <v>0.75800000000000001</v>
      </c>
      <c r="DD31" s="82"/>
      <c r="DE31" s="148">
        <v>0.60199999999999998</v>
      </c>
      <c r="DF31" s="148">
        <v>0.56999999999999995</v>
      </c>
      <c r="DG31" s="175"/>
      <c r="DH31" s="185"/>
      <c r="DI31" s="108"/>
      <c r="DK31" s="92" t="s">
        <v>101</v>
      </c>
      <c r="DL31" s="108"/>
      <c r="DN31" s="92" t="s">
        <v>101</v>
      </c>
      <c r="DO31" s="108"/>
    </row>
    <row r="32" spans="1:119" s="57" customFormat="1" ht="15" customHeight="1" x14ac:dyDescent="0.2">
      <c r="A32" s="98" t="s">
        <v>49</v>
      </c>
      <c r="B32" s="150">
        <v>23.683</v>
      </c>
      <c r="C32" s="117">
        <v>57.463999999999999</v>
      </c>
      <c r="D32" s="117">
        <v>3.0209999999999999</v>
      </c>
      <c r="E32" s="135">
        <v>106.438</v>
      </c>
      <c r="F32" s="151"/>
      <c r="G32" s="152"/>
      <c r="H32" s="134">
        <v>0.08</v>
      </c>
      <c r="I32" s="135">
        <v>-0.08</v>
      </c>
      <c r="J32" s="117" t="s">
        <v>166</v>
      </c>
      <c r="K32" s="117" t="s">
        <v>227</v>
      </c>
      <c r="L32" s="117">
        <v>0.622</v>
      </c>
      <c r="M32" s="135">
        <v>72.641999999999996</v>
      </c>
      <c r="N32" s="151"/>
      <c r="O32" s="152"/>
      <c r="P32" s="134">
        <v>0.26</v>
      </c>
      <c r="Q32" s="135">
        <v>0.17</v>
      </c>
      <c r="R32" s="117" t="s">
        <v>231</v>
      </c>
      <c r="S32" s="117" t="s">
        <v>232</v>
      </c>
      <c r="T32" s="117">
        <v>0.67900000000000005</v>
      </c>
      <c r="U32" s="117">
        <v>1.1299999999999999</v>
      </c>
      <c r="V32" s="118">
        <v>1.57</v>
      </c>
      <c r="W32" s="153"/>
      <c r="X32" s="153"/>
      <c r="Y32" s="173" t="s">
        <v>233</v>
      </c>
      <c r="Z32" s="155">
        <v>1.1599999999999999</v>
      </c>
      <c r="AA32" s="156">
        <v>1.19</v>
      </c>
      <c r="AB32" s="156">
        <v>0.03</v>
      </c>
      <c r="AC32" s="156">
        <v>1.68</v>
      </c>
      <c r="AD32" s="156">
        <v>1.72</v>
      </c>
      <c r="AE32" s="157">
        <v>0.04</v>
      </c>
      <c r="AF32" s="57" t="s">
        <v>101</v>
      </c>
      <c r="AG32" s="2"/>
      <c r="AH32" s="2"/>
      <c r="AJ32" s="158">
        <v>-8.9999999999999993E-3</v>
      </c>
      <c r="AK32" s="159">
        <v>0.26800000000000002</v>
      </c>
      <c r="AM32" s="160"/>
      <c r="AN32" s="160"/>
      <c r="AP32" s="146">
        <v>9.0000000000000011E-2</v>
      </c>
      <c r="AQ32" s="57" t="s">
        <v>101</v>
      </c>
      <c r="AR32" s="146">
        <v>50</v>
      </c>
      <c r="AS32" s="146">
        <v>50</v>
      </c>
      <c r="AT32" s="57" t="s">
        <v>101</v>
      </c>
      <c r="AU32" s="146">
        <v>50</v>
      </c>
      <c r="AV32" s="146">
        <v>50</v>
      </c>
      <c r="AW32" s="57" t="s">
        <v>101</v>
      </c>
      <c r="AX32" s="146">
        <v>0.53800000000000003</v>
      </c>
      <c r="AY32" s="146">
        <v>0.65700000000000003</v>
      </c>
      <c r="AZ32" s="146">
        <v>1.1950000000000001</v>
      </c>
      <c r="BA32" s="57" t="s">
        <v>101</v>
      </c>
      <c r="BE32" s="92" t="s">
        <v>101</v>
      </c>
      <c r="BF32" s="88" t="s">
        <v>170</v>
      </c>
      <c r="BN32" s="106"/>
      <c r="BP32" s="147">
        <v>0</v>
      </c>
      <c r="BQ32" s="108"/>
      <c r="BS32" s="148" t="s">
        <v>101</v>
      </c>
      <c r="BU32" s="180"/>
      <c r="BV32" s="180"/>
      <c r="BW32" s="85"/>
      <c r="BX32" s="180"/>
      <c r="BY32" s="180"/>
      <c r="BZ32" s="85"/>
      <c r="CA32" s="103"/>
      <c r="CB32" s="85"/>
      <c r="CC32" s="103"/>
      <c r="CE32" s="92" t="s">
        <v>101</v>
      </c>
      <c r="CF32" s="92" t="s">
        <v>101</v>
      </c>
      <c r="CH32" s="109"/>
      <c r="CJ32" s="92" t="s">
        <v>101</v>
      </c>
      <c r="CK32" s="108"/>
      <c r="CM32" s="92" t="s">
        <v>101</v>
      </c>
      <c r="CN32" s="108"/>
      <c r="CP32" s="92" t="s">
        <v>101</v>
      </c>
      <c r="CQ32" s="92" t="s">
        <v>170</v>
      </c>
      <c r="CR32" s="110"/>
      <c r="CS32" s="110"/>
      <c r="CT32" s="110"/>
      <c r="CV32" s="92" t="s">
        <v>101</v>
      </c>
      <c r="CW32" s="92" t="s">
        <v>170</v>
      </c>
      <c r="CX32" s="110"/>
      <c r="CY32" s="110"/>
      <c r="CZ32" s="110"/>
      <c r="DB32" s="148">
        <v>0.63500000000000001</v>
      </c>
      <c r="DC32" s="148">
        <v>0.73599999999999999</v>
      </c>
      <c r="DD32" s="82"/>
      <c r="DE32" s="148">
        <v>0.61</v>
      </c>
      <c r="DF32" s="148">
        <v>0.55300000000000005</v>
      </c>
      <c r="DG32" s="175"/>
      <c r="DH32" s="91" t="s">
        <v>165</v>
      </c>
      <c r="DI32" s="185"/>
      <c r="DK32" s="92" t="s">
        <v>101</v>
      </c>
      <c r="DL32" s="108"/>
      <c r="DN32" s="92" t="s">
        <v>101</v>
      </c>
      <c r="DO32" s="108"/>
    </row>
    <row r="33" spans="1:119" s="57" customFormat="1" ht="15" customHeight="1" x14ac:dyDescent="0.2">
      <c r="A33" s="98" t="s">
        <v>50</v>
      </c>
      <c r="B33" s="150">
        <v>24.79</v>
      </c>
      <c r="C33" s="117">
        <v>58.45</v>
      </c>
      <c r="D33" s="117">
        <v>2.9089999999999998</v>
      </c>
      <c r="E33" s="135">
        <v>98.9</v>
      </c>
      <c r="F33" s="151"/>
      <c r="G33" s="152"/>
      <c r="H33" s="134">
        <v>0.03</v>
      </c>
      <c r="I33" s="135">
        <v>-0.15</v>
      </c>
      <c r="J33" s="117" t="s">
        <v>181</v>
      </c>
      <c r="K33" s="117" t="s">
        <v>234</v>
      </c>
      <c r="L33" s="117">
        <v>0.63700000000000001</v>
      </c>
      <c r="M33" s="135">
        <v>68.102000000000004</v>
      </c>
      <c r="N33" s="151"/>
      <c r="O33" s="152"/>
      <c r="P33" s="134">
        <v>0.28000000000000003</v>
      </c>
      <c r="Q33" s="135">
        <v>0.19</v>
      </c>
      <c r="R33" s="117" t="s">
        <v>235</v>
      </c>
      <c r="S33" s="117" t="s">
        <v>236</v>
      </c>
      <c r="T33" s="117">
        <v>0.6</v>
      </c>
      <c r="U33" s="117">
        <v>1</v>
      </c>
      <c r="V33" s="118">
        <v>1.52</v>
      </c>
      <c r="W33" s="153"/>
      <c r="X33" s="153"/>
      <c r="Y33" s="173" t="s">
        <v>237</v>
      </c>
      <c r="Z33" s="155">
        <v>1.02</v>
      </c>
      <c r="AA33" s="156">
        <v>1.06</v>
      </c>
      <c r="AB33" s="156">
        <v>0.04</v>
      </c>
      <c r="AC33" s="156">
        <v>1.65</v>
      </c>
      <c r="AD33" s="156">
        <v>1.69</v>
      </c>
      <c r="AE33" s="157">
        <v>0.04</v>
      </c>
      <c r="AF33" s="57" t="s">
        <v>101</v>
      </c>
      <c r="AG33" s="2"/>
      <c r="AH33" s="2"/>
      <c r="AJ33" s="158">
        <v>-1.6E-2</v>
      </c>
      <c r="AK33" s="159">
        <v>0.22900000000000001</v>
      </c>
      <c r="AM33" s="160"/>
      <c r="AN33" s="160"/>
      <c r="AP33" s="146">
        <v>4.0000000000000008E-2</v>
      </c>
      <c r="AQ33" s="57" t="s">
        <v>101</v>
      </c>
      <c r="AR33" s="146">
        <v>50</v>
      </c>
      <c r="AS33" s="146">
        <v>50</v>
      </c>
      <c r="AT33" s="57" t="s">
        <v>101</v>
      </c>
      <c r="AU33" s="146">
        <v>50</v>
      </c>
      <c r="AV33" s="146">
        <v>50</v>
      </c>
      <c r="AW33" s="57" t="s">
        <v>101</v>
      </c>
      <c r="AX33" s="146">
        <v>0.54700000000000004</v>
      </c>
      <c r="AY33" s="146">
        <v>0.72299999999999998</v>
      </c>
      <c r="AZ33" s="146">
        <v>1.27</v>
      </c>
      <c r="BA33" s="57" t="s">
        <v>101</v>
      </c>
      <c r="BE33" s="92" t="s">
        <v>101</v>
      </c>
      <c r="BF33" s="92" t="s">
        <v>170</v>
      </c>
      <c r="BN33" s="106"/>
      <c r="BP33" s="147" t="s">
        <v>101</v>
      </c>
      <c r="BQ33" s="108"/>
      <c r="BS33" s="148" t="s">
        <v>165</v>
      </c>
      <c r="BU33" s="180"/>
      <c r="BV33" s="180"/>
      <c r="BW33" s="85"/>
      <c r="BX33" s="180"/>
      <c r="BY33" s="180"/>
      <c r="BZ33" s="85"/>
      <c r="CA33" s="103"/>
      <c r="CB33" s="85"/>
      <c r="CC33" s="103"/>
      <c r="CE33" s="92" t="s">
        <v>101</v>
      </c>
      <c r="CF33" s="92" t="s">
        <v>101</v>
      </c>
      <c r="CH33" s="109"/>
      <c r="CJ33" s="92" t="s">
        <v>101</v>
      </c>
      <c r="CK33" s="108"/>
      <c r="CM33" s="92" t="s">
        <v>101</v>
      </c>
      <c r="CN33" s="108"/>
      <c r="CP33" s="92" t="s">
        <v>101</v>
      </c>
      <c r="CQ33" s="92" t="s">
        <v>170</v>
      </c>
      <c r="CR33" s="110"/>
      <c r="CS33" s="110"/>
      <c r="CT33" s="110"/>
      <c r="CV33" s="92" t="s">
        <v>101</v>
      </c>
      <c r="CW33" s="92" t="s">
        <v>170</v>
      </c>
      <c r="CX33" s="110"/>
      <c r="CY33" s="110"/>
      <c r="CZ33" s="110"/>
      <c r="DB33" s="148">
        <v>0.64600000000000002</v>
      </c>
      <c r="DC33" s="148">
        <v>0.747</v>
      </c>
      <c r="DD33" s="82"/>
      <c r="DE33" s="148">
        <v>0.61099999999999999</v>
      </c>
      <c r="DF33" s="148">
        <v>0.53900000000000003</v>
      </c>
      <c r="DG33" s="175"/>
      <c r="DH33" s="108"/>
      <c r="DI33" s="91" t="s">
        <v>165</v>
      </c>
      <c r="DK33" s="92" t="s">
        <v>101</v>
      </c>
      <c r="DL33" s="108"/>
      <c r="DN33" s="92" t="s">
        <v>101</v>
      </c>
      <c r="DO33" s="108"/>
    </row>
    <row r="34" spans="1:119" s="57" customFormat="1" ht="15" customHeight="1" x14ac:dyDescent="0.2">
      <c r="A34" s="98" t="s">
        <v>51</v>
      </c>
      <c r="B34" s="150">
        <v>25.8</v>
      </c>
      <c r="C34" s="117">
        <v>59.081000000000003</v>
      </c>
      <c r="D34" s="117">
        <v>2.774</v>
      </c>
      <c r="E34" s="135">
        <v>93.316999999999993</v>
      </c>
      <c r="F34" s="151"/>
      <c r="G34" s="152"/>
      <c r="H34" s="134">
        <v>0.04</v>
      </c>
      <c r="I34" s="135">
        <v>-0.12</v>
      </c>
      <c r="J34" s="117" t="s">
        <v>166</v>
      </c>
      <c r="K34" s="117" t="s">
        <v>224</v>
      </c>
      <c r="L34" s="117">
        <v>0.66900000000000004</v>
      </c>
      <c r="M34" s="135">
        <v>70.072999999999993</v>
      </c>
      <c r="N34" s="151"/>
      <c r="O34" s="152"/>
      <c r="P34" s="134">
        <v>0.23</v>
      </c>
      <c r="Q34" s="135">
        <v>0.19</v>
      </c>
      <c r="R34" s="117" t="s">
        <v>235</v>
      </c>
      <c r="S34" s="117" t="s">
        <v>238</v>
      </c>
      <c r="T34" s="117">
        <v>0.65100000000000002</v>
      </c>
      <c r="U34" s="117">
        <v>1.02</v>
      </c>
      <c r="V34" s="118">
        <v>1.42</v>
      </c>
      <c r="W34" s="153"/>
      <c r="X34" s="153"/>
      <c r="Y34" s="173" t="s">
        <v>239</v>
      </c>
      <c r="Z34" s="155">
        <v>1.03</v>
      </c>
      <c r="AA34" s="156">
        <v>1.06</v>
      </c>
      <c r="AB34" s="156">
        <v>0.03</v>
      </c>
      <c r="AC34" s="156">
        <v>1.51</v>
      </c>
      <c r="AD34" s="156">
        <v>1.55</v>
      </c>
      <c r="AE34" s="157">
        <v>0.04</v>
      </c>
      <c r="AF34" s="57" t="s">
        <v>101</v>
      </c>
      <c r="AG34" s="2"/>
      <c r="AH34" s="2"/>
      <c r="AJ34" s="158">
        <v>-0.02</v>
      </c>
      <c r="AK34" s="159">
        <v>0.19800000000000001</v>
      </c>
      <c r="AM34" s="160"/>
      <c r="AN34" s="160"/>
      <c r="AP34" s="146">
        <v>7.0000000000000007E-2</v>
      </c>
      <c r="AQ34" s="57" t="s">
        <v>101</v>
      </c>
      <c r="AR34" s="146">
        <v>50</v>
      </c>
      <c r="AS34" s="146">
        <v>50</v>
      </c>
      <c r="AT34" s="57" t="s">
        <v>101</v>
      </c>
      <c r="AU34" s="146">
        <v>50</v>
      </c>
      <c r="AV34" s="146">
        <v>50</v>
      </c>
      <c r="AW34" s="57" t="s">
        <v>101</v>
      </c>
      <c r="AX34" s="146">
        <v>0.55100000000000005</v>
      </c>
      <c r="AY34" s="146">
        <v>0.70499999999999996</v>
      </c>
      <c r="AZ34" s="146">
        <v>1.256</v>
      </c>
      <c r="BA34" s="57" t="s">
        <v>101</v>
      </c>
      <c r="BN34" s="106"/>
      <c r="BP34" s="147" t="s">
        <v>101</v>
      </c>
      <c r="BQ34" s="108"/>
      <c r="BS34" s="148" t="s">
        <v>101</v>
      </c>
      <c r="BU34" s="180"/>
      <c r="BV34" s="180"/>
      <c r="BW34" s="85"/>
      <c r="BX34" s="180"/>
      <c r="BY34" s="180"/>
      <c r="BZ34" s="85"/>
      <c r="CA34" s="103"/>
      <c r="CB34" s="85"/>
      <c r="CC34" s="103"/>
      <c r="CE34" s="92" t="s">
        <v>101</v>
      </c>
      <c r="CF34" s="92" t="s">
        <v>101</v>
      </c>
      <c r="CH34" s="109"/>
      <c r="CJ34" s="92" t="s">
        <v>101</v>
      </c>
      <c r="CK34" s="108"/>
      <c r="CM34" s="92" t="s">
        <v>101</v>
      </c>
      <c r="CN34" s="108"/>
      <c r="CP34" s="92" t="s">
        <v>101</v>
      </c>
      <c r="CQ34" s="92" t="s">
        <v>170</v>
      </c>
      <c r="CR34" s="110"/>
      <c r="CS34" s="110"/>
      <c r="CT34" s="110"/>
      <c r="CV34" s="92" t="s">
        <v>101</v>
      </c>
      <c r="CW34" s="92" t="s">
        <v>170</v>
      </c>
      <c r="CX34" s="110"/>
      <c r="CY34" s="110"/>
      <c r="CZ34" s="110"/>
      <c r="DB34" s="148">
        <v>0.69299999999999995</v>
      </c>
      <c r="DC34" s="148">
        <v>0.74</v>
      </c>
      <c r="DD34" s="82"/>
      <c r="DE34" s="148">
        <v>0.65800000000000003</v>
      </c>
      <c r="DF34" s="148">
        <v>0.53200000000000003</v>
      </c>
      <c r="DG34" s="175"/>
      <c r="DH34" s="108"/>
      <c r="DI34" s="108"/>
      <c r="DK34" s="92" t="s">
        <v>101</v>
      </c>
      <c r="DL34" s="108"/>
      <c r="DN34" s="92" t="s">
        <v>101</v>
      </c>
      <c r="DO34" s="108"/>
    </row>
    <row r="35" spans="1:119" s="57" customFormat="1" ht="15" customHeight="1" x14ac:dyDescent="0.2">
      <c r="A35" s="98" t="s">
        <v>52</v>
      </c>
      <c r="B35" s="150">
        <v>27.027000000000001</v>
      </c>
      <c r="C35" s="117">
        <v>59.959000000000003</v>
      </c>
      <c r="D35" s="117">
        <v>2.6429999999999998</v>
      </c>
      <c r="E35" s="135">
        <v>91.149000000000001</v>
      </c>
      <c r="F35" s="151"/>
      <c r="G35" s="152"/>
      <c r="H35" s="134">
        <v>0.05</v>
      </c>
      <c r="I35" s="135">
        <v>0.02</v>
      </c>
      <c r="J35" s="117" t="s">
        <v>189</v>
      </c>
      <c r="K35" s="117" t="s">
        <v>224</v>
      </c>
      <c r="L35" s="117">
        <v>0.65</v>
      </c>
      <c r="M35" s="135">
        <v>84.114000000000004</v>
      </c>
      <c r="N35" s="151"/>
      <c r="O35" s="152"/>
      <c r="P35" s="134">
        <v>0.19</v>
      </c>
      <c r="Q35" s="135">
        <v>0.06</v>
      </c>
      <c r="R35" s="117" t="s">
        <v>228</v>
      </c>
      <c r="S35" s="117" t="s">
        <v>240</v>
      </c>
      <c r="T35" s="117">
        <v>0.61899999999999999</v>
      </c>
      <c r="U35" s="117">
        <v>1.1299999999999999</v>
      </c>
      <c r="V35" s="118">
        <v>1.19</v>
      </c>
      <c r="W35" s="153"/>
      <c r="X35" s="153"/>
      <c r="Y35" s="173" t="s">
        <v>191</v>
      </c>
      <c r="Z35" s="155">
        <v>1.1599999999999999</v>
      </c>
      <c r="AA35" s="156">
        <v>1.19</v>
      </c>
      <c r="AB35" s="156">
        <v>0.03</v>
      </c>
      <c r="AC35" s="156">
        <v>1.23</v>
      </c>
      <c r="AD35" s="156">
        <v>1.26</v>
      </c>
      <c r="AE35" s="157">
        <v>0.03</v>
      </c>
      <c r="AF35" s="57" t="s">
        <v>101</v>
      </c>
      <c r="AG35" s="2"/>
      <c r="AH35" s="2"/>
      <c r="AJ35" s="158">
        <v>-3.0000000000000001E-3</v>
      </c>
      <c r="AK35" s="159">
        <v>0.20499999999999999</v>
      </c>
      <c r="AM35" s="160"/>
      <c r="AN35" s="160"/>
      <c r="AP35" s="146">
        <v>0.08</v>
      </c>
      <c r="AQ35" s="57" t="s">
        <v>101</v>
      </c>
      <c r="AR35" s="146">
        <v>50</v>
      </c>
      <c r="AS35" s="146">
        <v>50</v>
      </c>
      <c r="AT35" s="57" t="s">
        <v>101</v>
      </c>
      <c r="AU35" s="146">
        <v>50</v>
      </c>
      <c r="AV35" s="146">
        <v>50</v>
      </c>
      <c r="AW35" s="57" t="s">
        <v>101</v>
      </c>
      <c r="AX35" s="146">
        <v>0.55100000000000005</v>
      </c>
      <c r="AY35" s="146">
        <v>0.67100000000000004</v>
      </c>
      <c r="AZ35" s="146">
        <v>1.222</v>
      </c>
      <c r="BA35" s="57" t="s">
        <v>101</v>
      </c>
      <c r="BN35" s="106"/>
      <c r="BP35" s="147" t="s">
        <v>101</v>
      </c>
      <c r="BQ35" s="108"/>
      <c r="BS35" s="148" t="s">
        <v>101</v>
      </c>
      <c r="BU35" s="180"/>
      <c r="BV35" s="180"/>
      <c r="BW35" s="85"/>
      <c r="BX35" s="180"/>
      <c r="BY35" s="180"/>
      <c r="BZ35" s="85"/>
      <c r="CA35" s="103"/>
      <c r="CB35" s="85"/>
      <c r="CC35" s="103"/>
      <c r="CE35" s="92" t="s">
        <v>101</v>
      </c>
      <c r="CF35" s="92" t="s">
        <v>101</v>
      </c>
      <c r="CH35" s="109"/>
      <c r="CJ35" s="92" t="s">
        <v>101</v>
      </c>
      <c r="CK35" s="108"/>
      <c r="CM35" s="92" t="s">
        <v>101</v>
      </c>
      <c r="CN35" s="108"/>
      <c r="CP35" s="92" t="s">
        <v>101</v>
      </c>
      <c r="CQ35" s="92" t="s">
        <v>170</v>
      </c>
      <c r="CR35" s="110"/>
      <c r="CS35" s="110"/>
      <c r="CT35" s="110"/>
      <c r="CV35" s="92" t="s">
        <v>101</v>
      </c>
      <c r="CW35" s="92" t="s">
        <v>170</v>
      </c>
      <c r="CX35" s="110"/>
      <c r="CY35" s="110"/>
      <c r="CZ35" s="110"/>
      <c r="DB35" s="148">
        <v>0.67</v>
      </c>
      <c r="DC35" s="148">
        <v>0.71499999999999997</v>
      </c>
      <c r="DD35" s="82"/>
      <c r="DE35" s="148">
        <v>0.63600000000000001</v>
      </c>
      <c r="DF35" s="148">
        <v>0.51500000000000001</v>
      </c>
      <c r="DG35" s="175"/>
      <c r="DH35" s="108"/>
      <c r="DI35" s="108"/>
      <c r="DK35" s="92" t="s">
        <v>101</v>
      </c>
      <c r="DL35" s="108"/>
      <c r="DN35" s="92" t="s">
        <v>101</v>
      </c>
      <c r="DO35" s="108"/>
    </row>
    <row r="36" spans="1:119" s="57" customFormat="1" ht="15" customHeight="1" x14ac:dyDescent="0.2">
      <c r="A36" s="98" t="s">
        <v>53</v>
      </c>
      <c r="B36" s="150">
        <v>26.638999999999999</v>
      </c>
      <c r="C36" s="117">
        <v>60.829000000000001</v>
      </c>
      <c r="D36" s="117">
        <v>2.528</v>
      </c>
      <c r="E36" s="135">
        <v>88.415000000000006</v>
      </c>
      <c r="F36" s="151"/>
      <c r="G36" s="152"/>
      <c r="H36" s="134">
        <v>0.09</v>
      </c>
      <c r="I36" s="135">
        <v>0.03</v>
      </c>
      <c r="J36" s="117" t="s">
        <v>241</v>
      </c>
      <c r="K36" s="117" t="s">
        <v>242</v>
      </c>
      <c r="L36" s="117">
        <v>0.55900000000000005</v>
      </c>
      <c r="M36" s="135">
        <v>98.643000000000001</v>
      </c>
      <c r="N36" s="151"/>
      <c r="O36" s="152"/>
      <c r="P36" s="134">
        <v>0.18</v>
      </c>
      <c r="Q36" s="135">
        <v>-0.02</v>
      </c>
      <c r="R36" s="117" t="s">
        <v>228</v>
      </c>
      <c r="S36" s="117" t="s">
        <v>222</v>
      </c>
      <c r="T36" s="117">
        <v>0.66300000000000003</v>
      </c>
      <c r="U36" s="117">
        <v>1.21</v>
      </c>
      <c r="V36" s="118">
        <v>1.07</v>
      </c>
      <c r="W36" s="153"/>
      <c r="X36" s="153"/>
      <c r="Y36" s="173" t="s">
        <v>243</v>
      </c>
      <c r="Z36" s="155">
        <v>1.25</v>
      </c>
      <c r="AA36" s="156">
        <v>1.28</v>
      </c>
      <c r="AB36" s="156">
        <v>0.03</v>
      </c>
      <c r="AC36" s="156">
        <v>1.0900000000000001</v>
      </c>
      <c r="AD36" s="156">
        <v>1.1200000000000001</v>
      </c>
      <c r="AE36" s="157">
        <v>0.03</v>
      </c>
      <c r="AF36" s="57" t="s">
        <v>101</v>
      </c>
      <c r="AG36" s="2"/>
      <c r="AH36" s="2"/>
      <c r="AJ36" s="158">
        <v>-1E-3</v>
      </c>
      <c r="AK36" s="159">
        <v>0.14799999999999999</v>
      </c>
      <c r="AM36" s="160"/>
      <c r="AN36" s="160"/>
      <c r="AP36" s="146">
        <v>9.9999999999999985E-3</v>
      </c>
      <c r="AQ36" s="57" t="s">
        <v>101</v>
      </c>
      <c r="AR36" s="146">
        <v>50</v>
      </c>
      <c r="AS36" s="146">
        <v>50</v>
      </c>
      <c r="AT36" s="57" t="s">
        <v>101</v>
      </c>
      <c r="AU36" s="146">
        <v>50</v>
      </c>
      <c r="AV36" s="146">
        <v>50</v>
      </c>
      <c r="AW36" s="57" t="s">
        <v>101</v>
      </c>
      <c r="AX36" s="146">
        <v>0.52900000000000003</v>
      </c>
      <c r="AY36" s="146">
        <v>0.67500000000000004</v>
      </c>
      <c r="AZ36" s="146">
        <v>1.2040000000000002</v>
      </c>
      <c r="BA36" s="57" t="s">
        <v>101</v>
      </c>
      <c r="BN36" s="106"/>
      <c r="BP36" s="147" t="s">
        <v>101</v>
      </c>
      <c r="BQ36" s="108"/>
      <c r="BS36" s="148" t="s">
        <v>101</v>
      </c>
      <c r="BU36" s="180"/>
      <c r="BV36" s="180"/>
      <c r="BW36" s="85"/>
      <c r="BX36" s="180"/>
      <c r="BY36" s="180"/>
      <c r="BZ36" s="85"/>
      <c r="CA36" s="103"/>
      <c r="CB36" s="85"/>
      <c r="CC36" s="103"/>
      <c r="CE36" s="92" t="s">
        <v>101</v>
      </c>
      <c r="CF36" s="92" t="s">
        <v>101</v>
      </c>
      <c r="CH36" s="109"/>
      <c r="CJ36" s="92" t="s">
        <v>101</v>
      </c>
      <c r="CK36" s="108"/>
      <c r="CM36" s="92" t="s">
        <v>101</v>
      </c>
      <c r="CN36" s="108"/>
      <c r="CP36" s="92" t="s">
        <v>101</v>
      </c>
      <c r="CQ36" s="92" t="s">
        <v>170</v>
      </c>
      <c r="CR36" s="110"/>
      <c r="CS36" s="110"/>
      <c r="CT36" s="110"/>
      <c r="CV36" s="92" t="s">
        <v>101</v>
      </c>
      <c r="CW36" s="92" t="s">
        <v>170</v>
      </c>
      <c r="CX36" s="110"/>
      <c r="CY36" s="110"/>
      <c r="CZ36" s="110"/>
      <c r="DB36" s="148">
        <v>0.54600000000000004</v>
      </c>
      <c r="DC36" s="148">
        <v>0.69499999999999995</v>
      </c>
      <c r="DD36" s="82"/>
      <c r="DE36" s="148">
        <v>0.52100000000000002</v>
      </c>
      <c r="DF36" s="148">
        <v>0.51600000000000001</v>
      </c>
      <c r="DG36" s="175"/>
      <c r="DH36" s="108"/>
      <c r="DI36" s="108"/>
      <c r="DK36" s="92" t="s">
        <v>101</v>
      </c>
      <c r="DL36" s="108"/>
      <c r="DN36" s="92" t="s">
        <v>101</v>
      </c>
      <c r="DO36" s="108"/>
    </row>
    <row r="37" spans="1:119" s="57" customFormat="1" ht="15" customHeight="1" x14ac:dyDescent="0.2">
      <c r="A37" s="98" t="s">
        <v>54</v>
      </c>
      <c r="B37" s="150">
        <v>25.808</v>
      </c>
      <c r="C37" s="117">
        <v>62.067999999999998</v>
      </c>
      <c r="D37" s="117">
        <v>2.5089999999999999</v>
      </c>
      <c r="E37" s="135">
        <v>84.319000000000003</v>
      </c>
      <c r="F37" s="151"/>
      <c r="G37" s="152"/>
      <c r="H37" s="134">
        <v>0.11</v>
      </c>
      <c r="I37" s="135">
        <v>0.03</v>
      </c>
      <c r="J37" s="117" t="s">
        <v>244</v>
      </c>
      <c r="K37" s="117" t="s">
        <v>224</v>
      </c>
      <c r="L37" s="117">
        <v>0.439</v>
      </c>
      <c r="M37" s="135">
        <v>97.228999999999999</v>
      </c>
      <c r="N37" s="151"/>
      <c r="O37" s="152"/>
      <c r="P37" s="134">
        <v>0.17</v>
      </c>
      <c r="Q37" s="135">
        <v>-0.02</v>
      </c>
      <c r="R37" s="117" t="s">
        <v>245</v>
      </c>
      <c r="S37" s="117" t="s">
        <v>219</v>
      </c>
      <c r="T37" s="117">
        <v>0.629</v>
      </c>
      <c r="U37" s="117">
        <v>1.17</v>
      </c>
      <c r="V37" s="118">
        <v>1.07</v>
      </c>
      <c r="W37" s="153"/>
      <c r="X37" s="153"/>
      <c r="Y37" s="173" t="s">
        <v>246</v>
      </c>
      <c r="Z37" s="155">
        <v>1.24</v>
      </c>
      <c r="AA37" s="156">
        <v>1.27</v>
      </c>
      <c r="AB37" s="156">
        <v>0.03</v>
      </c>
      <c r="AC37" s="156">
        <v>1.1000000000000001</v>
      </c>
      <c r="AD37" s="156">
        <v>1.1200000000000001</v>
      </c>
      <c r="AE37" s="157">
        <v>0.02</v>
      </c>
      <c r="AF37" s="57" t="s">
        <v>101</v>
      </c>
      <c r="AG37" s="2"/>
      <c r="AH37" s="2"/>
      <c r="AJ37" s="158">
        <v>1.9E-2</v>
      </c>
      <c r="AK37" s="159">
        <v>0.10299999999999999</v>
      </c>
      <c r="AM37" s="160"/>
      <c r="AN37" s="160"/>
      <c r="AP37" s="146">
        <v>9.9999999999999985E-3</v>
      </c>
      <c r="AQ37" s="57" t="s">
        <v>101</v>
      </c>
      <c r="AR37" s="146">
        <v>50</v>
      </c>
      <c r="AS37" s="146">
        <v>50</v>
      </c>
      <c r="AT37" s="57" t="s">
        <v>101</v>
      </c>
      <c r="AU37" s="146">
        <v>50</v>
      </c>
      <c r="AV37" s="146">
        <v>50</v>
      </c>
      <c r="AW37" s="57" t="s">
        <v>101</v>
      </c>
      <c r="AX37" s="146">
        <v>0.54</v>
      </c>
      <c r="AY37" s="146">
        <v>0.69499999999999995</v>
      </c>
      <c r="AZ37" s="146">
        <v>1.2349999999999999</v>
      </c>
      <c r="BA37" s="57" t="s">
        <v>101</v>
      </c>
      <c r="BN37" s="106"/>
      <c r="BP37" s="147" t="s">
        <v>101</v>
      </c>
      <c r="BQ37" s="108"/>
      <c r="BS37" s="148" t="s">
        <v>101</v>
      </c>
      <c r="BU37" s="180"/>
      <c r="BV37" s="180"/>
      <c r="BW37" s="85"/>
      <c r="BX37" s="180"/>
      <c r="BY37" s="180"/>
      <c r="BZ37" s="85"/>
      <c r="CA37" s="103"/>
      <c r="CB37" s="85"/>
      <c r="CC37" s="103"/>
      <c r="CE37" s="92" t="s">
        <v>101</v>
      </c>
      <c r="CF37" s="92" t="s">
        <v>101</v>
      </c>
      <c r="CH37" s="109"/>
      <c r="CJ37" s="92" t="s">
        <v>101</v>
      </c>
      <c r="CK37" s="108"/>
      <c r="CM37" s="92" t="s">
        <v>101</v>
      </c>
      <c r="CN37" s="108"/>
      <c r="CP37" s="92" t="s">
        <v>101</v>
      </c>
      <c r="CQ37" s="92" t="s">
        <v>170</v>
      </c>
      <c r="CR37" s="110"/>
      <c r="CS37" s="110"/>
      <c r="CT37" s="110"/>
      <c r="CV37" s="92" t="s">
        <v>101</v>
      </c>
      <c r="CW37" s="92" t="s">
        <v>170</v>
      </c>
      <c r="CX37" s="110"/>
      <c r="CY37" s="110"/>
      <c r="CZ37" s="110"/>
      <c r="DB37" s="148">
        <v>0.63500000000000001</v>
      </c>
      <c r="DC37" s="148">
        <v>0.70299999999999996</v>
      </c>
      <c r="DD37" s="82"/>
      <c r="DE37" s="148">
        <v>0.60199999999999998</v>
      </c>
      <c r="DF37" s="148">
        <v>0.52800000000000002</v>
      </c>
      <c r="DG37" s="175"/>
      <c r="DH37" s="108"/>
      <c r="DI37" s="108"/>
      <c r="DK37" s="92" t="s">
        <v>101</v>
      </c>
      <c r="DL37" s="108"/>
      <c r="DN37" s="92" t="s">
        <v>101</v>
      </c>
      <c r="DO37" s="108"/>
    </row>
    <row r="38" spans="1:119" s="57" customFormat="1" ht="15" customHeight="1" x14ac:dyDescent="0.2">
      <c r="A38" s="98" t="s">
        <v>55</v>
      </c>
      <c r="B38" s="150">
        <v>24.837</v>
      </c>
      <c r="C38" s="117">
        <v>63.107999999999997</v>
      </c>
      <c r="D38" s="117">
        <v>2.4809999999999999</v>
      </c>
      <c r="E38" s="135">
        <v>78.308000000000007</v>
      </c>
      <c r="F38" s="151"/>
      <c r="G38" s="152"/>
      <c r="H38" s="134">
        <v>0.1</v>
      </c>
      <c r="I38" s="135">
        <v>0.01</v>
      </c>
      <c r="J38" s="117" t="s">
        <v>241</v>
      </c>
      <c r="K38" s="117" t="s">
        <v>247</v>
      </c>
      <c r="L38" s="117">
        <v>0.45100000000000001</v>
      </c>
      <c r="M38" s="135">
        <v>93.454999999999998</v>
      </c>
      <c r="N38" s="151"/>
      <c r="O38" s="152"/>
      <c r="P38" s="134">
        <v>0.16</v>
      </c>
      <c r="Q38" s="135">
        <v>-0.03</v>
      </c>
      <c r="R38" s="117" t="s">
        <v>228</v>
      </c>
      <c r="S38" s="117" t="s">
        <v>216</v>
      </c>
      <c r="T38" s="117">
        <v>0.61199999999999999</v>
      </c>
      <c r="U38" s="117">
        <v>1.1599999999999999</v>
      </c>
      <c r="V38" s="118">
        <v>1.03</v>
      </c>
      <c r="W38" s="153"/>
      <c r="X38" s="153"/>
      <c r="Y38" s="173" t="s">
        <v>220</v>
      </c>
      <c r="Z38" s="155">
        <v>1.21</v>
      </c>
      <c r="AA38" s="156">
        <v>1.24</v>
      </c>
      <c r="AB38" s="156">
        <v>0.03</v>
      </c>
      <c r="AC38" s="156">
        <v>1.07</v>
      </c>
      <c r="AD38" s="156">
        <v>1.0900000000000001</v>
      </c>
      <c r="AE38" s="157">
        <v>0.02</v>
      </c>
      <c r="AF38" s="57" t="s">
        <v>101</v>
      </c>
      <c r="AG38" s="2"/>
      <c r="AH38" s="2"/>
      <c r="AJ38" s="158">
        <v>1.9E-2</v>
      </c>
      <c r="AK38" s="159">
        <v>1.7999999999999999E-2</v>
      </c>
      <c r="AM38" s="160"/>
      <c r="AN38" s="160"/>
      <c r="AP38" s="146">
        <v>-1.9999999999999997E-2</v>
      </c>
      <c r="AQ38" s="57" t="s">
        <v>101</v>
      </c>
      <c r="AR38" s="146">
        <v>50</v>
      </c>
      <c r="AS38" s="146">
        <v>50</v>
      </c>
      <c r="AT38" s="57" t="s">
        <v>101</v>
      </c>
      <c r="AU38" s="146">
        <v>50</v>
      </c>
      <c r="AV38" s="146">
        <v>50</v>
      </c>
      <c r="AW38" s="57" t="s">
        <v>101</v>
      </c>
      <c r="AX38" s="146">
        <v>0.56599999999999995</v>
      </c>
      <c r="AY38" s="146">
        <v>0.67700000000000005</v>
      </c>
      <c r="AZ38" s="146">
        <v>1.2429999999999999</v>
      </c>
      <c r="BA38" s="57" t="s">
        <v>101</v>
      </c>
      <c r="BN38" s="106"/>
      <c r="BP38" s="147" t="s">
        <v>101</v>
      </c>
      <c r="BQ38" s="108"/>
      <c r="BS38" s="148" t="s">
        <v>101</v>
      </c>
      <c r="BU38" s="180"/>
      <c r="BV38" s="180"/>
      <c r="BW38" s="85"/>
      <c r="BX38" s="180"/>
      <c r="BY38" s="180"/>
      <c r="BZ38" s="85"/>
      <c r="CA38" s="103"/>
      <c r="CB38" s="85"/>
      <c r="CC38" s="103"/>
      <c r="CE38" s="92" t="s">
        <v>101</v>
      </c>
      <c r="CF38" s="92" t="s">
        <v>101</v>
      </c>
      <c r="CH38" s="109"/>
      <c r="CJ38" s="92" t="s">
        <v>101</v>
      </c>
      <c r="CK38" s="108"/>
      <c r="CM38" s="92" t="s">
        <v>101</v>
      </c>
      <c r="CN38" s="108"/>
      <c r="CP38" s="92" t="s">
        <v>101</v>
      </c>
      <c r="CQ38" s="92" t="s">
        <v>170</v>
      </c>
      <c r="CR38" s="110"/>
      <c r="CS38" s="110"/>
      <c r="CT38" s="110"/>
      <c r="CV38" s="92" t="s">
        <v>101</v>
      </c>
      <c r="CW38" s="92" t="s">
        <v>170</v>
      </c>
      <c r="CX38" s="110"/>
      <c r="CY38" s="110"/>
      <c r="CZ38" s="110"/>
      <c r="DB38" s="148">
        <v>0.627</v>
      </c>
      <c r="DC38" s="148">
        <v>0.67700000000000005</v>
      </c>
      <c r="DD38" s="82"/>
      <c r="DE38" s="148">
        <v>0.61399999999999999</v>
      </c>
      <c r="DF38" s="148">
        <v>0.51500000000000001</v>
      </c>
      <c r="DG38" s="175"/>
      <c r="DH38" s="108"/>
      <c r="DI38" s="108"/>
      <c r="DK38" s="92" t="s">
        <v>101</v>
      </c>
      <c r="DL38" s="108"/>
      <c r="DN38" s="92" t="s">
        <v>101</v>
      </c>
      <c r="DO38" s="108"/>
    </row>
    <row r="39" spans="1:119" s="57" customFormat="1" ht="15" customHeight="1" x14ac:dyDescent="0.2">
      <c r="A39" s="98" t="s">
        <v>56</v>
      </c>
      <c r="B39" s="150">
        <v>23.738</v>
      </c>
      <c r="C39" s="117">
        <v>64.338999999999999</v>
      </c>
      <c r="D39" s="117">
        <v>2.4470000000000001</v>
      </c>
      <c r="E39" s="135">
        <v>71.442999999999998</v>
      </c>
      <c r="F39" s="151"/>
      <c r="G39" s="152"/>
      <c r="H39" s="134">
        <v>0.09</v>
      </c>
      <c r="I39" s="135">
        <v>0.01</v>
      </c>
      <c r="J39" s="162" t="s">
        <v>248</v>
      </c>
      <c r="K39" s="162" t="s">
        <v>249</v>
      </c>
      <c r="L39" s="117">
        <v>0.42099999999999999</v>
      </c>
      <c r="M39" s="135">
        <v>89.388999999999996</v>
      </c>
      <c r="N39" s="151"/>
      <c r="O39" s="152"/>
      <c r="P39" s="134">
        <v>0.17</v>
      </c>
      <c r="Q39" s="135">
        <v>7.0000000000000007E-2</v>
      </c>
      <c r="R39" s="117" t="s">
        <v>245</v>
      </c>
      <c r="S39" s="117" t="s">
        <v>216</v>
      </c>
      <c r="T39" s="117">
        <v>0.626</v>
      </c>
      <c r="U39" s="117">
        <v>1.1200000000000001</v>
      </c>
      <c r="V39" s="135">
        <v>1.1000000000000001</v>
      </c>
      <c r="W39" s="181">
        <v>0.158</v>
      </c>
      <c r="X39" s="181">
        <v>0.46400000000000002</v>
      </c>
      <c r="Y39" s="182" t="s">
        <v>250</v>
      </c>
      <c r="Z39" s="155">
        <v>1.1599999999999999</v>
      </c>
      <c r="AA39" s="156">
        <v>1.19</v>
      </c>
      <c r="AB39" s="156">
        <v>0.03</v>
      </c>
      <c r="AC39" s="156">
        <v>1.1200000000000001</v>
      </c>
      <c r="AD39" s="156">
        <v>1.1499999999999999</v>
      </c>
      <c r="AE39" s="157">
        <v>0.03</v>
      </c>
      <c r="AF39" s="57" t="s">
        <v>101</v>
      </c>
      <c r="AG39" s="2"/>
      <c r="AH39" s="2"/>
      <c r="AJ39" s="158">
        <v>0.15</v>
      </c>
      <c r="AK39" s="159">
        <v>4.5999999999999999E-2</v>
      </c>
      <c r="AM39" s="183">
        <v>2.9380000000000002</v>
      </c>
      <c r="AN39" s="184">
        <v>1.837</v>
      </c>
      <c r="AP39" s="146">
        <v>0.08</v>
      </c>
      <c r="AQ39" s="57" t="s">
        <v>101</v>
      </c>
      <c r="AR39" s="146">
        <v>50</v>
      </c>
      <c r="AS39" s="146">
        <v>50</v>
      </c>
      <c r="AT39" s="57" t="s">
        <v>101</v>
      </c>
      <c r="AU39" s="146">
        <v>50</v>
      </c>
      <c r="AV39" s="146">
        <v>50</v>
      </c>
      <c r="AW39" s="57" t="s">
        <v>101</v>
      </c>
      <c r="AX39" s="146">
        <v>0.56699999999999995</v>
      </c>
      <c r="AY39" s="146">
        <v>0.66400000000000003</v>
      </c>
      <c r="AZ39" s="146">
        <v>1.2309999999999999</v>
      </c>
      <c r="BA39" s="57" t="s">
        <v>101</v>
      </c>
      <c r="BN39" s="106"/>
      <c r="BP39" s="147" t="s">
        <v>101</v>
      </c>
      <c r="BQ39" s="108"/>
      <c r="BS39" s="148" t="s">
        <v>101</v>
      </c>
      <c r="BU39" s="180"/>
      <c r="BV39" s="180"/>
      <c r="BW39" s="85"/>
      <c r="BX39" s="180"/>
      <c r="BY39" s="180"/>
      <c r="BZ39" s="85"/>
      <c r="CA39" s="103"/>
      <c r="CB39" s="85"/>
      <c r="CC39" s="103"/>
      <c r="CE39" s="92" t="s">
        <v>101</v>
      </c>
      <c r="CF39" s="92" t="s">
        <v>101</v>
      </c>
      <c r="CH39" s="92" t="s">
        <v>101</v>
      </c>
      <c r="CJ39" s="92" t="s">
        <v>101</v>
      </c>
      <c r="CK39" s="108"/>
      <c r="CM39" s="92" t="s">
        <v>101</v>
      </c>
      <c r="CN39" s="108"/>
      <c r="CP39" s="92" t="s">
        <v>101</v>
      </c>
      <c r="CQ39" s="92" t="s">
        <v>170</v>
      </c>
      <c r="CR39" s="110"/>
      <c r="CS39" s="110"/>
      <c r="CT39" s="110"/>
      <c r="CV39" s="92" t="s">
        <v>101</v>
      </c>
      <c r="CW39" s="92" t="s">
        <v>170</v>
      </c>
      <c r="CX39" s="110"/>
      <c r="CY39" s="110"/>
      <c r="CZ39" s="110"/>
      <c r="DB39" s="148">
        <v>0.56699999999999995</v>
      </c>
      <c r="DC39" s="148">
        <v>0.67600000000000005</v>
      </c>
      <c r="DD39" s="82"/>
      <c r="DE39" s="148">
        <v>0.55300000000000005</v>
      </c>
      <c r="DF39" s="148">
        <v>0.51100000000000001</v>
      </c>
      <c r="DG39" s="175"/>
      <c r="DH39" s="185"/>
      <c r="DI39" s="108"/>
      <c r="DK39" s="92" t="s">
        <v>101</v>
      </c>
      <c r="DL39" s="108"/>
      <c r="DN39" s="92" t="s">
        <v>101</v>
      </c>
      <c r="DO39" s="108"/>
    </row>
    <row r="40" spans="1:119" s="57" customFormat="1" ht="15" customHeight="1" x14ac:dyDescent="0.2">
      <c r="A40" s="98" t="s">
        <v>57</v>
      </c>
      <c r="B40" s="186">
        <v>22.885000000000002</v>
      </c>
      <c r="C40" s="187">
        <v>64.823999999999998</v>
      </c>
      <c r="D40" s="187">
        <v>2.4380000000000002</v>
      </c>
      <c r="E40" s="188">
        <v>63.725000000000001</v>
      </c>
      <c r="F40" s="151"/>
      <c r="G40" s="152"/>
      <c r="H40" s="189">
        <v>0.04</v>
      </c>
      <c r="I40" s="188">
        <v>-0.06</v>
      </c>
      <c r="J40" s="190"/>
      <c r="K40" s="191"/>
      <c r="L40" s="192">
        <v>0.39700000000000002</v>
      </c>
      <c r="M40" s="188">
        <v>82.674999999999997</v>
      </c>
      <c r="N40" s="151"/>
      <c r="O40" s="152"/>
      <c r="P40" s="193">
        <v>0.2</v>
      </c>
      <c r="Q40" s="194">
        <v>0.08</v>
      </c>
      <c r="R40" s="187" t="s">
        <v>211</v>
      </c>
      <c r="S40" s="187" t="s">
        <v>173</v>
      </c>
      <c r="T40" s="188">
        <v>0.57299999999999995</v>
      </c>
      <c r="U40" s="188">
        <v>0.96</v>
      </c>
      <c r="V40" s="195">
        <v>1.17</v>
      </c>
      <c r="W40" s="153"/>
      <c r="X40" s="153"/>
      <c r="Y40" s="196" t="s">
        <v>251</v>
      </c>
      <c r="Z40" s="155">
        <v>0.97</v>
      </c>
      <c r="AA40" s="156">
        <v>1</v>
      </c>
      <c r="AB40" s="156">
        <v>0.03</v>
      </c>
      <c r="AC40" s="156">
        <v>1.23</v>
      </c>
      <c r="AD40" s="156">
        <v>1.26</v>
      </c>
      <c r="AE40" s="157">
        <v>0.03</v>
      </c>
      <c r="AF40" s="57" t="s">
        <v>101</v>
      </c>
      <c r="AG40" s="2"/>
      <c r="AH40" s="2"/>
      <c r="AJ40" s="197">
        <v>3.5999999999999997E-2</v>
      </c>
      <c r="AK40" s="198">
        <v>-0.26700000000000002</v>
      </c>
      <c r="AM40" s="160"/>
      <c r="AN40" s="160"/>
      <c r="AP40" s="146">
        <v>2.0000000000000004E-2</v>
      </c>
      <c r="AQ40" s="57" t="s">
        <v>101</v>
      </c>
      <c r="AR40" s="146">
        <v>50</v>
      </c>
      <c r="AS40" s="146">
        <v>50</v>
      </c>
      <c r="AT40" s="57" t="s">
        <v>101</v>
      </c>
      <c r="AU40" s="146">
        <v>50</v>
      </c>
      <c r="AV40" s="146">
        <v>50</v>
      </c>
      <c r="AW40" s="57" t="s">
        <v>101</v>
      </c>
      <c r="AX40" s="146" t="s">
        <v>101</v>
      </c>
      <c r="AY40" s="146">
        <v>0.61099999999999999</v>
      </c>
      <c r="AZ40" s="146">
        <v>0.61099999999999999</v>
      </c>
      <c r="BA40" s="57" t="s">
        <v>101</v>
      </c>
      <c r="BN40" s="199"/>
      <c r="BP40" s="147" t="s">
        <v>101</v>
      </c>
      <c r="BQ40" s="185"/>
      <c r="BS40" s="148" t="s">
        <v>101</v>
      </c>
      <c r="BU40" s="180"/>
      <c r="BV40" s="180"/>
      <c r="BW40" s="85"/>
      <c r="BX40" s="180"/>
      <c r="BY40" s="180"/>
      <c r="BZ40" s="85"/>
      <c r="CA40" s="103"/>
      <c r="CB40" s="85"/>
      <c r="CC40" s="103"/>
      <c r="CE40" s="92" t="s">
        <v>101</v>
      </c>
      <c r="CF40" s="92" t="s">
        <v>101</v>
      </c>
      <c r="CH40" s="92" t="s">
        <v>101</v>
      </c>
      <c r="CJ40" s="92" t="s">
        <v>101</v>
      </c>
      <c r="CK40" s="185"/>
      <c r="CM40" s="92" t="s">
        <v>101</v>
      </c>
      <c r="CN40" s="185"/>
      <c r="CP40" s="92" t="s">
        <v>101</v>
      </c>
      <c r="CQ40" s="92" t="s">
        <v>170</v>
      </c>
      <c r="CR40" s="200"/>
      <c r="CS40" s="200"/>
      <c r="CT40" s="200"/>
      <c r="CV40" s="92" t="s">
        <v>101</v>
      </c>
      <c r="CW40" s="92" t="s">
        <v>170</v>
      </c>
      <c r="CX40" s="200"/>
      <c r="CY40" s="200"/>
      <c r="CZ40" s="200"/>
      <c r="DB40" s="201"/>
      <c r="DC40" s="148">
        <v>0.621</v>
      </c>
      <c r="DD40" s="82"/>
      <c r="DE40" s="201"/>
      <c r="DF40" s="148">
        <v>0.51600000000000001</v>
      </c>
      <c r="DG40" s="175"/>
      <c r="DI40" s="185"/>
      <c r="DK40" s="92" t="s">
        <v>101</v>
      </c>
      <c r="DL40" s="185"/>
      <c r="DN40" s="92" t="s">
        <v>101</v>
      </c>
      <c r="DO40" s="185"/>
    </row>
    <row r="41" spans="1:119" s="57" customFormat="1" ht="15" customHeight="1" x14ac:dyDescent="0.2">
      <c r="A41" s="202" t="s">
        <v>58</v>
      </c>
      <c r="B41" s="77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77"/>
      <c r="P41" s="77"/>
      <c r="Q41" s="77"/>
      <c r="R41" s="203"/>
      <c r="S41" s="204"/>
      <c r="T41" s="204"/>
      <c r="U41" s="204"/>
      <c r="V41" s="204"/>
      <c r="W41" s="175"/>
      <c r="X41" s="175"/>
      <c r="Y41" s="175"/>
      <c r="Z41" s="205">
        <v>0.93</v>
      </c>
      <c r="AA41" s="206">
        <v>0.91</v>
      </c>
      <c r="AB41" s="206">
        <v>-0.02</v>
      </c>
      <c r="AC41" s="206">
        <v>1.22</v>
      </c>
      <c r="AD41" s="206">
        <v>1.22</v>
      </c>
      <c r="AE41" s="207">
        <v>0</v>
      </c>
      <c r="AG41" s="208"/>
      <c r="AM41" s="2"/>
      <c r="AN41" s="2"/>
      <c r="BS41" s="148" t="s">
        <v>101</v>
      </c>
    </row>
    <row r="42" spans="1:119" s="57" customFormat="1" ht="15" customHeight="1" x14ac:dyDescent="0.2">
      <c r="B42" s="209" t="s">
        <v>59</v>
      </c>
      <c r="C42" s="209"/>
      <c r="D42" s="209"/>
      <c r="E42" s="209"/>
      <c r="F42" s="209" t="s">
        <v>60</v>
      </c>
      <c r="G42" s="209"/>
      <c r="H42" s="209"/>
      <c r="I42" s="210" t="s">
        <v>61</v>
      </c>
      <c r="J42" s="211" t="s">
        <v>62</v>
      </c>
      <c r="K42" s="212" t="s">
        <v>63</v>
      </c>
      <c r="L42" s="212"/>
      <c r="M42" s="212"/>
      <c r="N42" s="212"/>
      <c r="O42" s="212"/>
      <c r="P42" s="212"/>
      <c r="Q42" s="212"/>
      <c r="S42" s="213" t="s">
        <v>64</v>
      </c>
      <c r="W42" s="213" t="s">
        <v>65</v>
      </c>
      <c r="AA42" s="213" t="s">
        <v>66</v>
      </c>
      <c r="AD42" s="214" t="s">
        <v>67</v>
      </c>
      <c r="AE42" s="215"/>
      <c r="AF42" s="216"/>
      <c r="AG42" s="216"/>
      <c r="AH42" s="216"/>
      <c r="AI42" s="216"/>
      <c r="AJ42" s="216"/>
      <c r="AK42" s="216"/>
      <c r="AL42" s="216"/>
      <c r="AM42" s="2"/>
      <c r="AN42" s="2"/>
      <c r="AO42" s="216"/>
      <c r="AP42" s="216"/>
      <c r="AQ42" s="216"/>
      <c r="AR42" s="216"/>
    </row>
    <row r="43" spans="1:119" s="57" customFormat="1" ht="15" customHeight="1" x14ac:dyDescent="0.2">
      <c r="B43" s="217" t="s">
        <v>68</v>
      </c>
      <c r="C43" s="218"/>
      <c r="D43" s="218"/>
      <c r="E43" s="219"/>
      <c r="F43" s="220" t="s">
        <v>69</v>
      </c>
      <c r="G43" s="221"/>
      <c r="H43" s="222"/>
      <c r="I43" s="223" t="s">
        <v>70</v>
      </c>
      <c r="J43" s="224" t="s">
        <v>252</v>
      </c>
      <c r="K43" s="225" t="s">
        <v>253</v>
      </c>
      <c r="L43" s="226"/>
      <c r="M43" s="226"/>
      <c r="N43" s="226"/>
      <c r="O43" s="226"/>
      <c r="P43" s="226"/>
      <c r="Q43" s="227"/>
      <c r="S43" s="228">
        <v>-5.3999999999999999E-2</v>
      </c>
      <c r="T43" s="228">
        <v>0.32</v>
      </c>
      <c r="U43" s="229"/>
      <c r="V43" s="228">
        <v>0.64600000000000002</v>
      </c>
      <c r="W43" s="228">
        <v>-0.32300000000000001</v>
      </c>
      <c r="X43" s="228">
        <v>0.185</v>
      </c>
      <c r="Y43" s="230"/>
      <c r="Z43" s="228">
        <v>1.32</v>
      </c>
      <c r="AA43" s="228">
        <v>-0.66</v>
      </c>
      <c r="AB43" s="228">
        <v>0.29199999999999998</v>
      </c>
      <c r="AC43" s="229"/>
      <c r="AD43" s="231" t="s">
        <v>252</v>
      </c>
      <c r="AE43" s="231" t="s">
        <v>252</v>
      </c>
      <c r="AG43" s="232"/>
      <c r="AH43" s="232"/>
      <c r="AI43" s="232"/>
      <c r="AJ43" s="232"/>
      <c r="AK43" s="232"/>
      <c r="AL43" s="232"/>
      <c r="AM43" s="2"/>
      <c r="AN43" s="2"/>
      <c r="AO43" s="232"/>
      <c r="AP43" s="232"/>
      <c r="AQ43" s="232"/>
      <c r="AR43" s="233" t="s">
        <v>71</v>
      </c>
      <c r="AS43" s="234" t="s">
        <v>101</v>
      </c>
      <c r="AU43" s="233" t="s">
        <v>72</v>
      </c>
      <c r="AV43" s="234" t="s">
        <v>101</v>
      </c>
    </row>
    <row r="44" spans="1:119" s="57" customFormat="1" ht="15" customHeight="1" x14ac:dyDescent="0.2">
      <c r="B44" s="235" t="s">
        <v>42</v>
      </c>
      <c r="C44" s="236" t="s">
        <v>48</v>
      </c>
      <c r="D44" s="236" t="s">
        <v>51</v>
      </c>
      <c r="E44" s="237" t="s">
        <v>53</v>
      </c>
      <c r="F44" s="238">
        <v>0.39</v>
      </c>
      <c r="G44" s="239" t="s">
        <v>73</v>
      </c>
      <c r="H44" s="240">
        <v>0.71</v>
      </c>
      <c r="I44" s="241">
        <v>570</v>
      </c>
      <c r="J44" s="242" t="s">
        <v>101</v>
      </c>
      <c r="K44" s="243" t="s">
        <v>254</v>
      </c>
      <c r="L44" s="244"/>
      <c r="M44" s="244"/>
      <c r="N44" s="244"/>
      <c r="O44" s="244"/>
      <c r="P44" s="244"/>
      <c r="Q44" s="245"/>
      <c r="S44" s="246"/>
      <c r="T44" s="229"/>
      <c r="U44" s="229"/>
      <c r="X44" s="229"/>
      <c r="Y44" s="229"/>
      <c r="Z44" s="229"/>
      <c r="AC44" s="229"/>
      <c r="AD44" s="247" t="s">
        <v>74</v>
      </c>
      <c r="AE44" s="247" t="s">
        <v>75</v>
      </c>
      <c r="AF44" s="232"/>
      <c r="AG44" s="232"/>
      <c r="AH44" s="232"/>
      <c r="AI44" s="232"/>
      <c r="AJ44" s="232"/>
      <c r="AK44" s="232"/>
      <c r="AL44" s="232"/>
      <c r="AM44" s="2"/>
      <c r="AN44" s="2"/>
      <c r="AO44" s="232"/>
      <c r="AP44" s="232"/>
      <c r="AQ44" s="232"/>
      <c r="AR44" s="248"/>
      <c r="AS44" s="234"/>
      <c r="AU44" s="248"/>
      <c r="AV44" s="234"/>
    </row>
    <row r="45" spans="1:119" ht="15" customHeight="1" x14ac:dyDescent="0.2">
      <c r="B45" s="249">
        <v>0.99</v>
      </c>
      <c r="C45" s="250">
        <v>1.04</v>
      </c>
      <c r="D45" s="250">
        <v>0.97</v>
      </c>
      <c r="E45" s="250">
        <v>1.02</v>
      </c>
      <c r="F45" s="251" t="s">
        <v>101</v>
      </c>
      <c r="G45" s="252"/>
      <c r="H45" s="253" t="s">
        <v>101</v>
      </c>
      <c r="I45" s="254" t="s">
        <v>101</v>
      </c>
      <c r="J45" s="255" t="s">
        <v>101</v>
      </c>
      <c r="K45" s="256"/>
      <c r="L45" s="257"/>
      <c r="M45" s="257"/>
      <c r="N45" s="257"/>
      <c r="O45" s="257"/>
      <c r="P45" s="257"/>
      <c r="Q45" s="258"/>
      <c r="T45" s="213" t="s">
        <v>76</v>
      </c>
      <c r="U45" s="259" t="s">
        <v>255</v>
      </c>
      <c r="V45" s="260"/>
      <c r="W45" s="261"/>
      <c r="Y45" s="213" t="s">
        <v>77</v>
      </c>
      <c r="Z45" s="259" t="s">
        <v>256</v>
      </c>
      <c r="AA45" s="260"/>
      <c r="AB45" s="261"/>
      <c r="AC45" s="262"/>
      <c r="AD45" s="263" t="s">
        <v>78</v>
      </c>
      <c r="AE45" s="229" t="s">
        <v>79</v>
      </c>
      <c r="AR45" s="248"/>
      <c r="AS45" s="234"/>
      <c r="AT45" s="57"/>
      <c r="AU45" s="248"/>
      <c r="AV45" s="234"/>
    </row>
    <row r="46" spans="1:119" s="57" customFormat="1" ht="50.1" customHeight="1" x14ac:dyDescent="0.2">
      <c r="A46" s="264"/>
      <c r="B46" s="228" t="s">
        <v>257</v>
      </c>
      <c r="C46" s="228">
        <v>1.0049999999999999</v>
      </c>
      <c r="D46" s="228" t="s">
        <v>258</v>
      </c>
      <c r="E46" s="228">
        <v>0.97</v>
      </c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M46" s="2"/>
      <c r="AN46" s="2"/>
      <c r="AS46" s="232"/>
    </row>
    <row r="47" spans="1:119" s="57" customFormat="1" ht="15" customHeight="1" x14ac:dyDescent="0.2">
      <c r="B47" s="265" t="s">
        <v>80</v>
      </c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J47" s="266" t="s">
        <v>81</v>
      </c>
      <c r="AK47" s="267"/>
      <c r="AL47" s="267"/>
      <c r="AM47" s="267"/>
      <c r="AN47" s="268"/>
      <c r="AS47" s="2"/>
      <c r="AT47" s="2"/>
    </row>
    <row r="48" spans="1:119" ht="60" customHeight="1" x14ac:dyDescent="0.2">
      <c r="A48" s="269"/>
      <c r="B48" s="270" t="s">
        <v>108</v>
      </c>
      <c r="C48" s="271" t="s">
        <v>109</v>
      </c>
      <c r="D48" s="271" t="s">
        <v>110</v>
      </c>
      <c r="E48" s="271" t="s">
        <v>111</v>
      </c>
      <c r="F48" s="272" t="s">
        <v>112</v>
      </c>
      <c r="G48" s="273"/>
      <c r="H48" s="274" t="s">
        <v>113</v>
      </c>
      <c r="I48" s="274" t="s">
        <v>114</v>
      </c>
      <c r="J48" s="271" t="s">
        <v>82</v>
      </c>
      <c r="K48" s="271" t="s">
        <v>83</v>
      </c>
      <c r="L48" s="271" t="s">
        <v>115</v>
      </c>
      <c r="M48" s="271" t="s">
        <v>116</v>
      </c>
      <c r="N48" s="272" t="s">
        <v>117</v>
      </c>
      <c r="O48" s="273"/>
      <c r="P48" s="274" t="s">
        <v>118</v>
      </c>
      <c r="Q48" s="274" t="s">
        <v>119</v>
      </c>
      <c r="R48" s="271" t="s">
        <v>84</v>
      </c>
      <c r="S48" s="271" t="s">
        <v>85</v>
      </c>
      <c r="T48" s="271" t="s">
        <v>120</v>
      </c>
      <c r="U48" s="275" t="s">
        <v>121</v>
      </c>
      <c r="V48" s="275" t="s">
        <v>122</v>
      </c>
      <c r="W48" s="274" t="s">
        <v>123</v>
      </c>
      <c r="X48" s="274" t="s">
        <v>124</v>
      </c>
      <c r="Y48" s="276" t="s">
        <v>86</v>
      </c>
      <c r="Z48" s="276" t="s">
        <v>125</v>
      </c>
      <c r="AA48" s="277" t="s">
        <v>126</v>
      </c>
      <c r="AB48" s="276" t="s">
        <v>127</v>
      </c>
      <c r="AC48" s="276" t="s">
        <v>128</v>
      </c>
      <c r="AD48" s="277" t="s">
        <v>129</v>
      </c>
      <c r="AE48" s="276" t="s">
        <v>130</v>
      </c>
      <c r="AJ48" s="278" t="s">
        <v>82</v>
      </c>
      <c r="AK48" s="279" t="s">
        <v>83</v>
      </c>
      <c r="AL48" s="278" t="s">
        <v>84</v>
      </c>
      <c r="AM48" s="279" t="s">
        <v>85</v>
      </c>
      <c r="AN48" s="280" t="s">
        <v>86</v>
      </c>
    </row>
    <row r="49" spans="1:40" s="16" customFormat="1" ht="15" customHeight="1" x14ac:dyDescent="0.2">
      <c r="A49" s="45" t="s">
        <v>25</v>
      </c>
      <c r="B49" s="281" t="s">
        <v>259</v>
      </c>
      <c r="C49" s="282" t="s">
        <v>259</v>
      </c>
      <c r="D49" s="282">
        <v>0.15</v>
      </c>
      <c r="E49" s="282">
        <v>0.7</v>
      </c>
      <c r="F49" s="283">
        <v>1</v>
      </c>
      <c r="G49" s="283"/>
      <c r="H49" s="282">
        <v>0.3</v>
      </c>
      <c r="I49" s="282">
        <v>0.3</v>
      </c>
      <c r="J49" s="282" t="s">
        <v>26</v>
      </c>
      <c r="K49" s="282" t="s">
        <v>26</v>
      </c>
      <c r="L49" s="282">
        <v>0.15</v>
      </c>
      <c r="M49" s="282">
        <v>0.7</v>
      </c>
      <c r="N49" s="283">
        <v>1</v>
      </c>
      <c r="O49" s="283"/>
      <c r="P49" s="282">
        <v>0.3</v>
      </c>
      <c r="Q49" s="282">
        <v>0.3</v>
      </c>
      <c r="R49" s="282" t="s">
        <v>26</v>
      </c>
      <c r="S49" s="282" t="s">
        <v>26</v>
      </c>
      <c r="T49" s="282">
        <v>0.15</v>
      </c>
      <c r="U49" s="282">
        <v>10</v>
      </c>
      <c r="V49" s="282">
        <v>10</v>
      </c>
      <c r="W49" s="282" t="s">
        <v>259</v>
      </c>
      <c r="X49" s="282" t="s">
        <v>259</v>
      </c>
      <c r="Y49" s="284" t="s">
        <v>26</v>
      </c>
      <c r="Z49" s="282">
        <v>3</v>
      </c>
      <c r="AA49" s="282">
        <v>3</v>
      </c>
      <c r="AB49" s="282" t="s">
        <v>259</v>
      </c>
      <c r="AC49" s="282">
        <v>3</v>
      </c>
      <c r="AD49" s="282">
        <v>3</v>
      </c>
      <c r="AE49" s="285" t="s">
        <v>259</v>
      </c>
      <c r="AG49" s="2"/>
      <c r="AH49" s="2"/>
      <c r="AJ49" s="286"/>
      <c r="AK49" s="287"/>
      <c r="AL49" s="286"/>
      <c r="AM49" s="287"/>
      <c r="AN49" s="96"/>
    </row>
    <row r="50" spans="1:40" s="16" customFormat="1" ht="15" customHeight="1" x14ac:dyDescent="0.2">
      <c r="A50" s="45" t="s">
        <v>27</v>
      </c>
      <c r="B50" s="288" t="s">
        <v>259</v>
      </c>
      <c r="C50" s="289" t="s">
        <v>259</v>
      </c>
      <c r="D50" s="289">
        <v>-0.25</v>
      </c>
      <c r="E50" s="290">
        <v>-0.7</v>
      </c>
      <c r="F50" s="291">
        <v>0</v>
      </c>
      <c r="G50" s="291"/>
      <c r="H50" s="289">
        <v>-0.2</v>
      </c>
      <c r="I50" s="289">
        <v>-0.2</v>
      </c>
      <c r="J50" s="289" t="s">
        <v>26</v>
      </c>
      <c r="K50" s="290" t="s">
        <v>26</v>
      </c>
      <c r="L50" s="290">
        <v>-0.1</v>
      </c>
      <c r="M50" s="290">
        <v>-0.7</v>
      </c>
      <c r="N50" s="291">
        <v>0</v>
      </c>
      <c r="O50" s="291"/>
      <c r="P50" s="289">
        <v>-0.2</v>
      </c>
      <c r="Q50" s="289">
        <v>-0.2</v>
      </c>
      <c r="R50" s="289" t="s">
        <v>26</v>
      </c>
      <c r="S50" s="289" t="s">
        <v>26</v>
      </c>
      <c r="T50" s="289">
        <v>-0.1</v>
      </c>
      <c r="U50" s="289" t="s">
        <v>259</v>
      </c>
      <c r="V50" s="289" t="s">
        <v>259</v>
      </c>
      <c r="W50" s="289" t="s">
        <v>259</v>
      </c>
      <c r="X50" s="289" t="s">
        <v>259</v>
      </c>
      <c r="Y50" s="292" t="s">
        <v>26</v>
      </c>
      <c r="Z50" s="290" t="s">
        <v>259</v>
      </c>
      <c r="AA50" s="290" t="s">
        <v>259</v>
      </c>
      <c r="AB50" s="290" t="s">
        <v>259</v>
      </c>
      <c r="AC50" s="290" t="s">
        <v>259</v>
      </c>
      <c r="AD50" s="290" t="s">
        <v>259</v>
      </c>
      <c r="AE50" s="293" t="s">
        <v>259</v>
      </c>
      <c r="AG50" s="2"/>
      <c r="AH50" s="2"/>
      <c r="AJ50" s="294"/>
      <c r="AK50" s="295"/>
      <c r="AL50" s="294"/>
      <c r="AM50" s="295"/>
      <c r="AN50" s="112"/>
    </row>
    <row r="51" spans="1:40" s="57" customFormat="1" ht="15" customHeight="1" x14ac:dyDescent="0.2">
      <c r="A51" s="296" t="s">
        <v>28</v>
      </c>
      <c r="B51" s="76"/>
      <c r="C51" s="83"/>
      <c r="D51" s="83"/>
      <c r="E51" s="77"/>
      <c r="F51" s="78">
        <v>0</v>
      </c>
      <c r="G51" s="79"/>
      <c r="H51" s="80">
        <v>0</v>
      </c>
      <c r="I51" s="81">
        <v>0</v>
      </c>
      <c r="J51" s="83"/>
      <c r="K51" s="83"/>
      <c r="L51" s="83"/>
      <c r="M51" s="83"/>
      <c r="N51" s="78">
        <v>0</v>
      </c>
      <c r="O51" s="79"/>
      <c r="P51" s="80">
        <v>0</v>
      </c>
      <c r="Q51" s="81">
        <v>0</v>
      </c>
      <c r="R51" s="83"/>
      <c r="S51" s="83"/>
      <c r="T51" s="83"/>
      <c r="U51" s="83"/>
      <c r="V51" s="83"/>
      <c r="W51" s="83"/>
      <c r="X51" s="83"/>
      <c r="Y51" s="77"/>
      <c r="Z51" s="297"/>
      <c r="AA51" s="297"/>
      <c r="AB51" s="297"/>
      <c r="AC51" s="297"/>
      <c r="AD51" s="297"/>
      <c r="AE51" s="297"/>
      <c r="AG51" s="2"/>
      <c r="AH51" s="2"/>
      <c r="AJ51" s="294"/>
      <c r="AK51" s="295"/>
      <c r="AL51" s="294"/>
      <c r="AM51" s="295"/>
      <c r="AN51" s="112"/>
    </row>
    <row r="52" spans="1:40" s="57" customFormat="1" ht="15" customHeight="1" x14ac:dyDescent="0.2">
      <c r="A52" s="169" t="s">
        <v>29</v>
      </c>
      <c r="B52" s="76"/>
      <c r="C52" s="77"/>
      <c r="D52" s="77"/>
      <c r="E52" s="77"/>
      <c r="F52" s="99">
        <v>0</v>
      </c>
      <c r="G52" s="100"/>
      <c r="H52" s="101">
        <v>0</v>
      </c>
      <c r="I52" s="102">
        <v>0</v>
      </c>
      <c r="J52" s="77"/>
      <c r="K52" s="77"/>
      <c r="L52" s="77"/>
      <c r="M52" s="77"/>
      <c r="N52" s="99">
        <v>0</v>
      </c>
      <c r="O52" s="100"/>
      <c r="P52" s="101">
        <v>0</v>
      </c>
      <c r="Q52" s="102">
        <v>0</v>
      </c>
      <c r="R52" s="77"/>
      <c r="S52" s="77"/>
      <c r="T52" s="77"/>
      <c r="U52" s="77"/>
      <c r="V52" s="77"/>
      <c r="W52" s="77"/>
      <c r="X52" s="77"/>
      <c r="Y52" s="77"/>
      <c r="Z52" s="298"/>
      <c r="AA52" s="298"/>
      <c r="AB52" s="298"/>
      <c r="AC52" s="298"/>
      <c r="AD52" s="298"/>
      <c r="AE52" s="298"/>
      <c r="AG52" s="2"/>
      <c r="AH52" s="2"/>
      <c r="AJ52" s="294"/>
      <c r="AK52" s="295"/>
      <c r="AL52" s="294"/>
      <c r="AM52" s="295"/>
      <c r="AN52" s="112"/>
    </row>
    <row r="53" spans="1:40" s="57" customFormat="1" ht="15" customHeight="1" x14ac:dyDescent="0.2">
      <c r="A53" s="299" t="s">
        <v>30</v>
      </c>
      <c r="B53" s="76"/>
      <c r="C53" s="300"/>
      <c r="D53" s="300"/>
      <c r="E53" s="77"/>
      <c r="F53" s="115">
        <v>0</v>
      </c>
      <c r="G53" s="116"/>
      <c r="H53" s="117">
        <v>0</v>
      </c>
      <c r="I53" s="118">
        <v>0</v>
      </c>
      <c r="J53" s="300"/>
      <c r="K53" s="300"/>
      <c r="L53" s="300"/>
      <c r="M53" s="300"/>
      <c r="N53" s="115">
        <v>0</v>
      </c>
      <c r="O53" s="116"/>
      <c r="P53" s="117">
        <v>0</v>
      </c>
      <c r="Q53" s="118">
        <v>0</v>
      </c>
      <c r="R53" s="300"/>
      <c r="S53" s="300"/>
      <c r="T53" s="300"/>
      <c r="U53" s="301"/>
      <c r="V53" s="301"/>
      <c r="W53" s="300"/>
      <c r="X53" s="77"/>
      <c r="Y53" s="77"/>
      <c r="Z53" s="302"/>
      <c r="AA53" s="302"/>
      <c r="AB53" s="302"/>
      <c r="AC53" s="302"/>
      <c r="AD53" s="302"/>
      <c r="AE53" s="302"/>
      <c r="AG53" s="2"/>
      <c r="AH53" s="2"/>
      <c r="AJ53" s="303"/>
      <c r="AK53" s="304"/>
      <c r="AL53" s="303"/>
      <c r="AM53" s="304"/>
      <c r="AN53" s="112"/>
    </row>
    <row r="54" spans="1:40" s="57" customFormat="1" ht="15" customHeight="1" x14ac:dyDescent="0.2">
      <c r="A54" s="169" t="s">
        <v>31</v>
      </c>
      <c r="B54" s="127">
        <v>3.95</v>
      </c>
      <c r="C54" s="305">
        <v>29.2</v>
      </c>
      <c r="D54" s="305">
        <v>6.29</v>
      </c>
      <c r="E54" s="129">
        <v>53.97</v>
      </c>
      <c r="F54" s="306"/>
      <c r="G54" s="131"/>
      <c r="H54" s="307">
        <v>0</v>
      </c>
      <c r="I54" s="305">
        <v>0</v>
      </c>
      <c r="J54" s="305">
        <v>0</v>
      </c>
      <c r="K54" s="128">
        <v>0</v>
      </c>
      <c r="L54" s="128">
        <v>0.3</v>
      </c>
      <c r="M54" s="129">
        <v>46.62</v>
      </c>
      <c r="N54" s="306"/>
      <c r="O54" s="131"/>
      <c r="P54" s="307">
        <v>0</v>
      </c>
      <c r="Q54" s="305">
        <v>0</v>
      </c>
      <c r="R54" s="305">
        <v>0</v>
      </c>
      <c r="S54" s="305">
        <v>0</v>
      </c>
      <c r="T54" s="308">
        <v>0.2</v>
      </c>
      <c r="U54" s="309">
        <v>0.88</v>
      </c>
      <c r="V54" s="310">
        <v>0.88</v>
      </c>
      <c r="W54" s="311">
        <v>0</v>
      </c>
      <c r="X54" s="137"/>
      <c r="Y54" s="312"/>
      <c r="Z54" s="313">
        <v>0.88</v>
      </c>
      <c r="AA54" s="314">
        <v>0.88</v>
      </c>
      <c r="AB54" s="314">
        <v>0</v>
      </c>
      <c r="AC54" s="314">
        <v>0.88</v>
      </c>
      <c r="AD54" s="314">
        <v>0.88</v>
      </c>
      <c r="AE54" s="315">
        <v>0</v>
      </c>
      <c r="AG54" s="2"/>
      <c r="AH54" s="2"/>
      <c r="AJ54" s="173">
        <v>0.6</v>
      </c>
      <c r="AK54" s="316">
        <v>0.47368421052631576</v>
      </c>
      <c r="AL54" s="170">
        <v>0.2857142857142857</v>
      </c>
      <c r="AM54" s="316">
        <v>0.23529411764705882</v>
      </c>
      <c r="AN54" s="112"/>
    </row>
    <row r="55" spans="1:40" s="57" customFormat="1" ht="15" customHeight="1" x14ac:dyDescent="0.2">
      <c r="A55" s="169" t="s">
        <v>32</v>
      </c>
      <c r="B55" s="150">
        <v>4.1900000000000004</v>
      </c>
      <c r="C55" s="117">
        <v>30.73</v>
      </c>
      <c r="D55" s="117">
        <v>5.61</v>
      </c>
      <c r="E55" s="135">
        <v>56.41</v>
      </c>
      <c r="F55" s="151"/>
      <c r="G55" s="152"/>
      <c r="H55" s="182">
        <v>0</v>
      </c>
      <c r="I55" s="117">
        <v>0</v>
      </c>
      <c r="J55" s="117">
        <v>0</v>
      </c>
      <c r="K55" s="117">
        <v>0</v>
      </c>
      <c r="L55" s="117">
        <v>0.3</v>
      </c>
      <c r="M55" s="135">
        <v>46.49</v>
      </c>
      <c r="N55" s="151"/>
      <c r="O55" s="152"/>
      <c r="P55" s="182">
        <v>0</v>
      </c>
      <c r="Q55" s="117">
        <v>0</v>
      </c>
      <c r="R55" s="117">
        <v>0</v>
      </c>
      <c r="S55" s="117">
        <v>0</v>
      </c>
      <c r="T55" s="117">
        <v>0.2</v>
      </c>
      <c r="U55" s="117">
        <v>1.05</v>
      </c>
      <c r="V55" s="118">
        <v>1.04</v>
      </c>
      <c r="W55" s="153"/>
      <c r="X55" s="153"/>
      <c r="Y55" s="312"/>
      <c r="Z55" s="317">
        <v>1.05</v>
      </c>
      <c r="AA55" s="318">
        <v>1.05</v>
      </c>
      <c r="AB55" s="318">
        <v>0</v>
      </c>
      <c r="AC55" s="318">
        <v>1.04</v>
      </c>
      <c r="AD55" s="318">
        <v>1.04</v>
      </c>
      <c r="AE55" s="319">
        <v>0</v>
      </c>
      <c r="AG55" s="2"/>
      <c r="AH55" s="2"/>
      <c r="AJ55" s="173">
        <v>0.61111111111111116</v>
      </c>
      <c r="AK55" s="118">
        <v>0.4</v>
      </c>
      <c r="AL55" s="173">
        <v>0.3529411764705882</v>
      </c>
      <c r="AM55" s="118">
        <v>0.2608695652173913</v>
      </c>
      <c r="AN55" s="112"/>
    </row>
    <row r="56" spans="1:40" s="57" customFormat="1" ht="15" customHeight="1" x14ac:dyDescent="0.2">
      <c r="A56" s="169" t="s">
        <v>33</v>
      </c>
      <c r="B56" s="150">
        <v>4.3499999999999996</v>
      </c>
      <c r="C56" s="117">
        <v>31.4</v>
      </c>
      <c r="D56" s="117">
        <v>5.29</v>
      </c>
      <c r="E56" s="135">
        <v>58.38</v>
      </c>
      <c r="F56" s="151"/>
      <c r="G56" s="152"/>
      <c r="H56" s="182">
        <v>0</v>
      </c>
      <c r="I56" s="117">
        <v>0</v>
      </c>
      <c r="J56" s="117">
        <v>0</v>
      </c>
      <c r="K56" s="117">
        <v>0</v>
      </c>
      <c r="L56" s="117">
        <v>0.3</v>
      </c>
      <c r="M56" s="135">
        <v>46.47</v>
      </c>
      <c r="N56" s="151"/>
      <c r="O56" s="152"/>
      <c r="P56" s="182">
        <v>0</v>
      </c>
      <c r="Q56" s="117">
        <v>0</v>
      </c>
      <c r="R56" s="117">
        <v>0</v>
      </c>
      <c r="S56" s="117">
        <v>0</v>
      </c>
      <c r="T56" s="117">
        <v>0.19</v>
      </c>
      <c r="U56" s="117">
        <v>1.1200000000000001</v>
      </c>
      <c r="V56" s="118">
        <v>1.1000000000000001</v>
      </c>
      <c r="W56" s="153"/>
      <c r="X56" s="153"/>
      <c r="Y56" s="312"/>
      <c r="Z56" s="317">
        <v>1.1200000000000001</v>
      </c>
      <c r="AA56" s="318">
        <v>1.1200000000000001</v>
      </c>
      <c r="AB56" s="318">
        <v>0</v>
      </c>
      <c r="AC56" s="318">
        <v>1.1000000000000001</v>
      </c>
      <c r="AD56" s="318">
        <v>1.1000000000000001</v>
      </c>
      <c r="AE56" s="319">
        <v>0</v>
      </c>
      <c r="AG56" s="2"/>
      <c r="AH56" s="2"/>
      <c r="AJ56" s="173">
        <v>0.61111111111111116</v>
      </c>
      <c r="AK56" s="118">
        <v>0.43750000000000006</v>
      </c>
      <c r="AL56" s="173">
        <v>0.43750000000000006</v>
      </c>
      <c r="AM56" s="118">
        <v>0.34782608695652173</v>
      </c>
      <c r="AN56" s="112"/>
    </row>
    <row r="57" spans="1:40" s="57" customFormat="1" ht="15" customHeight="1" x14ac:dyDescent="0.2">
      <c r="A57" s="169" t="s">
        <v>34</v>
      </c>
      <c r="B57" s="150">
        <v>4.6900000000000004</v>
      </c>
      <c r="C57" s="117">
        <v>32.270000000000003</v>
      </c>
      <c r="D57" s="117">
        <v>4.9800000000000004</v>
      </c>
      <c r="E57" s="135">
        <v>60.86</v>
      </c>
      <c r="F57" s="151"/>
      <c r="G57" s="152"/>
      <c r="H57" s="182">
        <v>0</v>
      </c>
      <c r="I57" s="117">
        <v>0</v>
      </c>
      <c r="J57" s="117">
        <v>0</v>
      </c>
      <c r="K57" s="117">
        <v>0</v>
      </c>
      <c r="L57" s="117">
        <v>0.28999999999999998</v>
      </c>
      <c r="M57" s="135">
        <v>46.71</v>
      </c>
      <c r="N57" s="151"/>
      <c r="O57" s="152"/>
      <c r="P57" s="182">
        <v>0</v>
      </c>
      <c r="Q57" s="117">
        <v>0</v>
      </c>
      <c r="R57" s="117">
        <v>0</v>
      </c>
      <c r="S57" s="117">
        <v>0</v>
      </c>
      <c r="T57" s="117">
        <v>0.2</v>
      </c>
      <c r="U57" s="117">
        <v>1.17</v>
      </c>
      <c r="V57" s="118">
        <v>1.1499999999999999</v>
      </c>
      <c r="W57" s="153"/>
      <c r="X57" s="153"/>
      <c r="Y57" s="312"/>
      <c r="Z57" s="317">
        <v>1.17</v>
      </c>
      <c r="AA57" s="318">
        <v>1.17</v>
      </c>
      <c r="AB57" s="318">
        <v>0</v>
      </c>
      <c r="AC57" s="318">
        <v>1.1499999999999999</v>
      </c>
      <c r="AD57" s="318">
        <v>1.1499999999999999</v>
      </c>
      <c r="AE57" s="319">
        <v>0</v>
      </c>
      <c r="AG57" s="2"/>
      <c r="AH57" s="2"/>
      <c r="AJ57" s="173">
        <v>0.66666666666666663</v>
      </c>
      <c r="AK57" s="118">
        <v>0.44</v>
      </c>
      <c r="AL57" s="173">
        <v>0.43750000000000006</v>
      </c>
      <c r="AM57" s="118">
        <v>0.31818181818181823</v>
      </c>
      <c r="AN57" s="112"/>
    </row>
    <row r="58" spans="1:40" s="57" customFormat="1" ht="15" customHeight="1" x14ac:dyDescent="0.2">
      <c r="A58" s="299" t="s">
        <v>35</v>
      </c>
      <c r="B58" s="161">
        <v>5.26</v>
      </c>
      <c r="C58" s="162">
        <v>33.14</v>
      </c>
      <c r="D58" s="162">
        <v>4.7699999999999996</v>
      </c>
      <c r="E58" s="163">
        <v>63.82</v>
      </c>
      <c r="F58" s="151"/>
      <c r="G58" s="152"/>
      <c r="H58" s="320">
        <v>0</v>
      </c>
      <c r="I58" s="162">
        <v>0</v>
      </c>
      <c r="J58" s="162">
        <v>0</v>
      </c>
      <c r="K58" s="162">
        <v>0</v>
      </c>
      <c r="L58" s="162">
        <v>0.3</v>
      </c>
      <c r="M58" s="163">
        <v>47.5</v>
      </c>
      <c r="N58" s="151"/>
      <c r="O58" s="152"/>
      <c r="P58" s="320">
        <v>0</v>
      </c>
      <c r="Q58" s="162">
        <v>0</v>
      </c>
      <c r="R58" s="162">
        <v>0</v>
      </c>
      <c r="S58" s="162">
        <v>0</v>
      </c>
      <c r="T58" s="162">
        <v>0.2</v>
      </c>
      <c r="U58" s="162">
        <v>1.2</v>
      </c>
      <c r="V58" s="165">
        <v>1.19</v>
      </c>
      <c r="W58" s="153"/>
      <c r="X58" s="153"/>
      <c r="Y58" s="312"/>
      <c r="Z58" s="321">
        <v>1.2</v>
      </c>
      <c r="AA58" s="322">
        <v>1.2</v>
      </c>
      <c r="AB58" s="322">
        <v>0</v>
      </c>
      <c r="AC58" s="322">
        <v>1.19</v>
      </c>
      <c r="AD58" s="322">
        <v>1.19</v>
      </c>
      <c r="AE58" s="323">
        <v>0</v>
      </c>
      <c r="AG58" s="2"/>
      <c r="AH58" s="2"/>
      <c r="AJ58" s="324">
        <v>0.66666666666666674</v>
      </c>
      <c r="AK58" s="165">
        <v>0.44</v>
      </c>
      <c r="AL58" s="324">
        <v>0.47058823529411764</v>
      </c>
      <c r="AM58" s="165">
        <v>0.36363636363636365</v>
      </c>
      <c r="AN58" s="325"/>
    </row>
    <row r="59" spans="1:40" s="57" customFormat="1" ht="15" customHeight="1" x14ac:dyDescent="0.2">
      <c r="A59" s="169" t="s">
        <v>36</v>
      </c>
      <c r="B59" s="150">
        <v>5.99</v>
      </c>
      <c r="C59" s="117">
        <v>33.92</v>
      </c>
      <c r="D59" s="117">
        <v>4.6500000000000004</v>
      </c>
      <c r="E59" s="135">
        <v>67.38</v>
      </c>
      <c r="F59" s="151"/>
      <c r="G59" s="152"/>
      <c r="H59" s="182">
        <v>0</v>
      </c>
      <c r="I59" s="117">
        <v>0</v>
      </c>
      <c r="J59" s="117">
        <v>0</v>
      </c>
      <c r="K59" s="117">
        <v>0</v>
      </c>
      <c r="L59" s="117">
        <v>0.28999999999999998</v>
      </c>
      <c r="M59" s="135">
        <v>48.86</v>
      </c>
      <c r="N59" s="151"/>
      <c r="O59" s="152"/>
      <c r="P59" s="182">
        <v>0</v>
      </c>
      <c r="Q59" s="117">
        <v>0</v>
      </c>
      <c r="R59" s="117">
        <v>0</v>
      </c>
      <c r="S59" s="117">
        <v>0</v>
      </c>
      <c r="T59" s="117">
        <v>0.2</v>
      </c>
      <c r="U59" s="117">
        <v>1.24</v>
      </c>
      <c r="V59" s="118">
        <v>1.23</v>
      </c>
      <c r="W59" s="153"/>
      <c r="X59" s="153"/>
      <c r="Y59" s="170">
        <v>0</v>
      </c>
      <c r="Z59" s="156">
        <v>1.24</v>
      </c>
      <c r="AA59" s="155">
        <v>1.24</v>
      </c>
      <c r="AB59" s="156">
        <v>0</v>
      </c>
      <c r="AC59" s="156">
        <v>1.23</v>
      </c>
      <c r="AD59" s="156">
        <v>1.23</v>
      </c>
      <c r="AE59" s="157">
        <v>0</v>
      </c>
      <c r="AG59" s="2"/>
      <c r="AH59" s="2"/>
      <c r="AJ59" s="173">
        <v>0.6875</v>
      </c>
      <c r="AK59" s="118">
        <v>0.44</v>
      </c>
      <c r="AL59" s="173">
        <v>0.5</v>
      </c>
      <c r="AM59" s="118">
        <v>0.33333333333333337</v>
      </c>
      <c r="AN59" s="326">
        <v>0.375</v>
      </c>
    </row>
    <row r="60" spans="1:40" s="57" customFormat="1" ht="15" customHeight="1" x14ac:dyDescent="0.2">
      <c r="A60" s="327" t="s">
        <v>37</v>
      </c>
      <c r="B60" s="328">
        <v>7.24</v>
      </c>
      <c r="C60" s="305">
        <v>35.11</v>
      </c>
      <c r="D60" s="305">
        <v>4.5599999999999996</v>
      </c>
      <c r="E60" s="308">
        <v>76.91</v>
      </c>
      <c r="F60" s="151"/>
      <c r="G60" s="152"/>
      <c r="H60" s="307">
        <v>0</v>
      </c>
      <c r="I60" s="305">
        <v>0</v>
      </c>
      <c r="J60" s="305">
        <v>0</v>
      </c>
      <c r="K60" s="305">
        <v>0</v>
      </c>
      <c r="L60" s="305">
        <v>0.3</v>
      </c>
      <c r="M60" s="308">
        <v>52.45</v>
      </c>
      <c r="N60" s="151"/>
      <c r="O60" s="152"/>
      <c r="P60" s="307">
        <v>0</v>
      </c>
      <c r="Q60" s="305">
        <v>0</v>
      </c>
      <c r="R60" s="305">
        <v>0</v>
      </c>
      <c r="S60" s="305">
        <v>0</v>
      </c>
      <c r="T60" s="305">
        <v>0.2</v>
      </c>
      <c r="U60" s="305">
        <v>1.32</v>
      </c>
      <c r="V60" s="329">
        <v>1.3</v>
      </c>
      <c r="W60" s="153"/>
      <c r="X60" s="153"/>
      <c r="Y60" s="173">
        <v>0</v>
      </c>
      <c r="Z60" s="156">
        <v>1.32</v>
      </c>
      <c r="AA60" s="330">
        <v>1.32</v>
      </c>
      <c r="AB60" s="331">
        <v>0</v>
      </c>
      <c r="AC60" s="331">
        <v>1.3</v>
      </c>
      <c r="AD60" s="331">
        <v>1.3</v>
      </c>
      <c r="AE60" s="332">
        <v>0</v>
      </c>
      <c r="AG60" s="2"/>
      <c r="AH60" s="2"/>
      <c r="AJ60" s="173">
        <v>0.64705882352941169</v>
      </c>
      <c r="AK60" s="118">
        <v>0.44</v>
      </c>
      <c r="AL60" s="173">
        <v>0.53333333333333333</v>
      </c>
      <c r="AM60" s="118">
        <v>0.375</v>
      </c>
      <c r="AN60" s="118">
        <v>0.32</v>
      </c>
    </row>
    <row r="61" spans="1:40" s="57" customFormat="1" ht="15" customHeight="1" x14ac:dyDescent="0.2">
      <c r="A61" s="169" t="s">
        <v>38</v>
      </c>
      <c r="B61" s="150">
        <v>8.98</v>
      </c>
      <c r="C61" s="117">
        <v>36.53</v>
      </c>
      <c r="D61" s="117">
        <v>4.4400000000000004</v>
      </c>
      <c r="E61" s="135">
        <v>89.32</v>
      </c>
      <c r="F61" s="151"/>
      <c r="G61" s="152"/>
      <c r="H61" s="182">
        <v>0</v>
      </c>
      <c r="I61" s="117">
        <v>0</v>
      </c>
      <c r="J61" s="117">
        <v>0</v>
      </c>
      <c r="K61" s="117">
        <v>0</v>
      </c>
      <c r="L61" s="117">
        <v>0.3</v>
      </c>
      <c r="M61" s="135">
        <v>56.53</v>
      </c>
      <c r="N61" s="151"/>
      <c r="O61" s="152"/>
      <c r="P61" s="182">
        <v>0</v>
      </c>
      <c r="Q61" s="117">
        <v>0</v>
      </c>
      <c r="R61" s="117">
        <v>0</v>
      </c>
      <c r="S61" s="117">
        <v>0</v>
      </c>
      <c r="T61" s="117">
        <v>0.2</v>
      </c>
      <c r="U61" s="117">
        <v>1.39</v>
      </c>
      <c r="V61" s="118">
        <v>1.39</v>
      </c>
      <c r="W61" s="153"/>
      <c r="X61" s="153"/>
      <c r="Y61" s="173">
        <v>0</v>
      </c>
      <c r="Z61" s="156">
        <v>1.39</v>
      </c>
      <c r="AA61" s="333">
        <v>1.39</v>
      </c>
      <c r="AB61" s="318">
        <v>0</v>
      </c>
      <c r="AC61" s="318">
        <v>1.39</v>
      </c>
      <c r="AD61" s="318">
        <v>1.39</v>
      </c>
      <c r="AE61" s="319">
        <v>0</v>
      </c>
      <c r="AG61" s="2"/>
      <c r="AH61" s="2"/>
      <c r="AJ61" s="173">
        <v>0.57894736842105265</v>
      </c>
      <c r="AK61" s="118">
        <v>0.38888888888888895</v>
      </c>
      <c r="AL61" s="173">
        <v>0.6875</v>
      </c>
      <c r="AM61" s="118">
        <v>0.41666666666666669</v>
      </c>
      <c r="AN61" s="118">
        <v>0.20833333333333334</v>
      </c>
    </row>
    <row r="62" spans="1:40" s="57" customFormat="1" ht="15" customHeight="1" x14ac:dyDescent="0.2">
      <c r="A62" s="169" t="s">
        <v>39</v>
      </c>
      <c r="B62" s="150">
        <v>11.62</v>
      </c>
      <c r="C62" s="117">
        <v>38.369999999999997</v>
      </c>
      <c r="D62" s="117">
        <v>4.28</v>
      </c>
      <c r="E62" s="135">
        <v>101.23</v>
      </c>
      <c r="F62" s="151"/>
      <c r="G62" s="152"/>
      <c r="H62" s="182">
        <v>0</v>
      </c>
      <c r="I62" s="117">
        <v>0</v>
      </c>
      <c r="J62" s="117">
        <v>0</v>
      </c>
      <c r="K62" s="117">
        <v>0</v>
      </c>
      <c r="L62" s="117">
        <v>0.3</v>
      </c>
      <c r="M62" s="135">
        <v>60.97</v>
      </c>
      <c r="N62" s="151"/>
      <c r="O62" s="152"/>
      <c r="P62" s="182">
        <v>0</v>
      </c>
      <c r="Q62" s="117">
        <v>0</v>
      </c>
      <c r="R62" s="117">
        <v>0</v>
      </c>
      <c r="S62" s="117">
        <v>0</v>
      </c>
      <c r="T62" s="117">
        <v>0.2</v>
      </c>
      <c r="U62" s="117">
        <v>1.47</v>
      </c>
      <c r="V62" s="118">
        <v>1.49</v>
      </c>
      <c r="W62" s="153"/>
      <c r="X62" s="153"/>
      <c r="Y62" s="173">
        <v>0</v>
      </c>
      <c r="Z62" s="156">
        <v>1.47</v>
      </c>
      <c r="AA62" s="333">
        <v>1.47</v>
      </c>
      <c r="AB62" s="318">
        <v>0</v>
      </c>
      <c r="AC62" s="318">
        <v>1.49</v>
      </c>
      <c r="AD62" s="318">
        <v>1.49</v>
      </c>
      <c r="AE62" s="319">
        <v>0</v>
      </c>
      <c r="AG62" s="2"/>
      <c r="AH62" s="2"/>
      <c r="AJ62" s="173">
        <v>0.55555555555555558</v>
      </c>
      <c r="AK62" s="118">
        <v>0.31818181818181823</v>
      </c>
      <c r="AL62" s="173">
        <v>0.73333333333333339</v>
      </c>
      <c r="AM62" s="118">
        <v>0.4</v>
      </c>
      <c r="AN62" s="118">
        <v>0.2</v>
      </c>
    </row>
    <row r="63" spans="1:40" s="57" customFormat="1" ht="15" customHeight="1" x14ac:dyDescent="0.2">
      <c r="A63" s="169" t="s">
        <v>40</v>
      </c>
      <c r="B63" s="150">
        <v>13.72</v>
      </c>
      <c r="C63" s="117">
        <v>40.450000000000003</v>
      </c>
      <c r="D63" s="117">
        <v>4.13</v>
      </c>
      <c r="E63" s="135">
        <v>110.18</v>
      </c>
      <c r="F63" s="151"/>
      <c r="G63" s="152"/>
      <c r="H63" s="182">
        <v>0</v>
      </c>
      <c r="I63" s="117">
        <v>0</v>
      </c>
      <c r="J63" s="117">
        <v>0</v>
      </c>
      <c r="K63" s="117">
        <v>0</v>
      </c>
      <c r="L63" s="117">
        <v>0.3</v>
      </c>
      <c r="M63" s="135">
        <v>64.900000000000006</v>
      </c>
      <c r="N63" s="151"/>
      <c r="O63" s="152"/>
      <c r="P63" s="182">
        <v>0</v>
      </c>
      <c r="Q63" s="117">
        <v>0</v>
      </c>
      <c r="R63" s="117">
        <v>0</v>
      </c>
      <c r="S63" s="117">
        <v>0</v>
      </c>
      <c r="T63" s="117">
        <v>0.2</v>
      </c>
      <c r="U63" s="117">
        <v>1.49</v>
      </c>
      <c r="V63" s="118">
        <v>1.43</v>
      </c>
      <c r="W63" s="153"/>
      <c r="X63" s="153"/>
      <c r="Y63" s="173">
        <v>0</v>
      </c>
      <c r="Z63" s="156">
        <v>1.49</v>
      </c>
      <c r="AA63" s="333">
        <v>1.49</v>
      </c>
      <c r="AB63" s="318">
        <v>0</v>
      </c>
      <c r="AC63" s="318">
        <v>1.43</v>
      </c>
      <c r="AD63" s="318">
        <v>1.43</v>
      </c>
      <c r="AE63" s="319">
        <v>0</v>
      </c>
      <c r="AG63" s="2"/>
      <c r="AH63" s="2"/>
      <c r="AJ63" s="173">
        <v>0.52941176470588225</v>
      </c>
      <c r="AK63" s="118">
        <v>0.30434782608695654</v>
      </c>
      <c r="AL63" s="173">
        <v>0.8</v>
      </c>
      <c r="AM63" s="118">
        <v>0.4</v>
      </c>
      <c r="AN63" s="118">
        <v>0.25</v>
      </c>
    </row>
    <row r="64" spans="1:40" s="57" customFormat="1" ht="15" customHeight="1" x14ac:dyDescent="0.2">
      <c r="A64" s="169" t="s">
        <v>41</v>
      </c>
      <c r="B64" s="150">
        <v>15.81</v>
      </c>
      <c r="C64" s="117">
        <v>42.61</v>
      </c>
      <c r="D64" s="117">
        <v>3.99</v>
      </c>
      <c r="E64" s="135">
        <v>115.26</v>
      </c>
      <c r="F64" s="151"/>
      <c r="G64" s="152"/>
      <c r="H64" s="182">
        <v>0</v>
      </c>
      <c r="I64" s="117">
        <v>0</v>
      </c>
      <c r="J64" s="117">
        <v>0</v>
      </c>
      <c r="K64" s="117">
        <v>0</v>
      </c>
      <c r="L64" s="117">
        <v>0.3</v>
      </c>
      <c r="M64" s="135">
        <v>68.86</v>
      </c>
      <c r="N64" s="151"/>
      <c r="O64" s="152"/>
      <c r="P64" s="182">
        <v>0</v>
      </c>
      <c r="Q64" s="117">
        <v>0</v>
      </c>
      <c r="R64" s="117">
        <v>0</v>
      </c>
      <c r="S64" s="117">
        <v>0</v>
      </c>
      <c r="T64" s="117">
        <v>0.2</v>
      </c>
      <c r="U64" s="117">
        <v>1.52</v>
      </c>
      <c r="V64" s="118">
        <v>1.44</v>
      </c>
      <c r="W64" s="153"/>
      <c r="X64" s="153"/>
      <c r="Y64" s="173">
        <v>0</v>
      </c>
      <c r="Z64" s="156">
        <v>1.52</v>
      </c>
      <c r="AA64" s="333">
        <v>1.52</v>
      </c>
      <c r="AB64" s="318">
        <v>0</v>
      </c>
      <c r="AC64" s="318">
        <v>1.44</v>
      </c>
      <c r="AD64" s="318">
        <v>1.44</v>
      </c>
      <c r="AE64" s="319">
        <v>0</v>
      </c>
      <c r="AG64" s="2"/>
      <c r="AH64" s="2"/>
      <c r="AJ64" s="173">
        <v>0.5</v>
      </c>
      <c r="AK64" s="118">
        <v>0.2608695652173913</v>
      </c>
      <c r="AL64" s="173">
        <v>0.76470588235294112</v>
      </c>
      <c r="AM64" s="118">
        <v>0.44</v>
      </c>
      <c r="AN64" s="118">
        <v>0.4</v>
      </c>
    </row>
    <row r="65" spans="1:40" s="57" customFormat="1" ht="15" customHeight="1" x14ac:dyDescent="0.2">
      <c r="A65" s="169" t="s">
        <v>42</v>
      </c>
      <c r="B65" s="150">
        <v>17.53</v>
      </c>
      <c r="C65" s="117">
        <v>44.72</v>
      </c>
      <c r="D65" s="117">
        <v>3.86</v>
      </c>
      <c r="E65" s="135">
        <v>118.36</v>
      </c>
      <c r="F65" s="151"/>
      <c r="G65" s="152"/>
      <c r="H65" s="182">
        <v>0</v>
      </c>
      <c r="I65" s="117">
        <v>0</v>
      </c>
      <c r="J65" s="117">
        <v>0</v>
      </c>
      <c r="K65" s="117">
        <v>0</v>
      </c>
      <c r="L65" s="117">
        <v>0.3</v>
      </c>
      <c r="M65" s="135">
        <v>73.8</v>
      </c>
      <c r="N65" s="151"/>
      <c r="O65" s="152"/>
      <c r="P65" s="182">
        <v>0</v>
      </c>
      <c r="Q65" s="117">
        <v>0</v>
      </c>
      <c r="R65" s="117">
        <v>0</v>
      </c>
      <c r="S65" s="117">
        <v>0</v>
      </c>
      <c r="T65" s="117">
        <v>0.2</v>
      </c>
      <c r="U65" s="117">
        <v>1.54</v>
      </c>
      <c r="V65" s="135">
        <v>1.47</v>
      </c>
      <c r="W65" s="311">
        <v>0</v>
      </c>
      <c r="X65" s="153"/>
      <c r="Y65" s="173">
        <v>0</v>
      </c>
      <c r="Z65" s="156">
        <v>1.54</v>
      </c>
      <c r="AA65" s="333">
        <v>1.54</v>
      </c>
      <c r="AB65" s="318">
        <v>0</v>
      </c>
      <c r="AC65" s="318">
        <v>1.47</v>
      </c>
      <c r="AD65" s="318">
        <v>1.47</v>
      </c>
      <c r="AE65" s="319">
        <v>0</v>
      </c>
      <c r="AG65" s="2"/>
      <c r="AH65" s="2"/>
      <c r="AJ65" s="173">
        <v>0.53333333333333333</v>
      </c>
      <c r="AK65" s="118">
        <v>0.21739130434782608</v>
      </c>
      <c r="AL65" s="173">
        <v>0.8666666666666667</v>
      </c>
      <c r="AM65" s="118">
        <v>0.52</v>
      </c>
      <c r="AN65" s="118">
        <v>0.48582995951417002</v>
      </c>
    </row>
    <row r="66" spans="1:40" s="57" customFormat="1" ht="15" customHeight="1" x14ac:dyDescent="0.2">
      <c r="A66" s="169" t="s">
        <v>43</v>
      </c>
      <c r="B66" s="150">
        <v>18.579999999999998</v>
      </c>
      <c r="C66" s="117">
        <v>46.76</v>
      </c>
      <c r="D66" s="117">
        <v>3.73</v>
      </c>
      <c r="E66" s="135">
        <v>120.46</v>
      </c>
      <c r="F66" s="151"/>
      <c r="G66" s="152"/>
      <c r="H66" s="182">
        <v>0</v>
      </c>
      <c r="I66" s="117">
        <v>0</v>
      </c>
      <c r="J66" s="117">
        <v>0</v>
      </c>
      <c r="K66" s="117">
        <v>0</v>
      </c>
      <c r="L66" s="117">
        <v>0.3</v>
      </c>
      <c r="M66" s="135">
        <v>79.180000000000007</v>
      </c>
      <c r="N66" s="151"/>
      <c r="O66" s="152"/>
      <c r="P66" s="182">
        <v>0</v>
      </c>
      <c r="Q66" s="117">
        <v>0</v>
      </c>
      <c r="R66" s="117">
        <v>0</v>
      </c>
      <c r="S66" s="117">
        <v>0</v>
      </c>
      <c r="T66" s="117">
        <v>0.23</v>
      </c>
      <c r="U66" s="117">
        <v>1.53</v>
      </c>
      <c r="V66" s="118">
        <v>1.49</v>
      </c>
      <c r="W66" s="153"/>
      <c r="X66" s="153"/>
      <c r="Y66" s="173">
        <v>0</v>
      </c>
      <c r="Z66" s="156">
        <v>1.53</v>
      </c>
      <c r="AA66" s="333">
        <v>1.53</v>
      </c>
      <c r="AB66" s="318">
        <v>0</v>
      </c>
      <c r="AC66" s="318">
        <v>1.49</v>
      </c>
      <c r="AD66" s="318">
        <v>1.49</v>
      </c>
      <c r="AE66" s="319">
        <v>0</v>
      </c>
      <c r="AG66" s="2"/>
      <c r="AH66" s="2"/>
      <c r="AJ66" s="173">
        <v>0.53333333333333333</v>
      </c>
      <c r="AK66" s="118">
        <v>0.17391304347826086</v>
      </c>
      <c r="AL66" s="173">
        <v>1</v>
      </c>
      <c r="AM66" s="118">
        <v>0.56000000000000005</v>
      </c>
      <c r="AN66" s="118">
        <v>0.48</v>
      </c>
    </row>
    <row r="67" spans="1:40" s="57" customFormat="1" ht="15" customHeight="1" x14ac:dyDescent="0.2">
      <c r="A67" s="169" t="s">
        <v>44</v>
      </c>
      <c r="B67" s="150">
        <v>19.420000000000002</v>
      </c>
      <c r="C67" s="117">
        <v>48.79</v>
      </c>
      <c r="D67" s="117">
        <v>3.59</v>
      </c>
      <c r="E67" s="135">
        <v>122.04</v>
      </c>
      <c r="F67" s="151"/>
      <c r="G67" s="152"/>
      <c r="H67" s="182">
        <v>0</v>
      </c>
      <c r="I67" s="117">
        <v>0</v>
      </c>
      <c r="J67" s="117">
        <v>0</v>
      </c>
      <c r="K67" s="117">
        <v>0</v>
      </c>
      <c r="L67" s="117">
        <v>0.3</v>
      </c>
      <c r="M67" s="135">
        <v>83.85</v>
      </c>
      <c r="N67" s="151"/>
      <c r="O67" s="152"/>
      <c r="P67" s="182">
        <v>0</v>
      </c>
      <c r="Q67" s="117">
        <v>0</v>
      </c>
      <c r="R67" s="117">
        <v>0</v>
      </c>
      <c r="S67" s="117">
        <v>0</v>
      </c>
      <c r="T67" s="117">
        <v>0.38</v>
      </c>
      <c r="U67" s="117">
        <v>1.51</v>
      </c>
      <c r="V67" s="118">
        <v>1.5</v>
      </c>
      <c r="W67" s="153"/>
      <c r="X67" s="153"/>
      <c r="Y67" s="173">
        <v>0</v>
      </c>
      <c r="Z67" s="156">
        <v>1.51</v>
      </c>
      <c r="AA67" s="333">
        <v>1.51</v>
      </c>
      <c r="AB67" s="318">
        <v>0</v>
      </c>
      <c r="AC67" s="318">
        <v>1.5</v>
      </c>
      <c r="AD67" s="318">
        <v>1.5</v>
      </c>
      <c r="AE67" s="319">
        <v>0</v>
      </c>
      <c r="AG67" s="2"/>
      <c r="AH67" s="2"/>
      <c r="AJ67" s="173">
        <v>0.53333333333333333</v>
      </c>
      <c r="AK67" s="118">
        <v>0.24</v>
      </c>
      <c r="AL67" s="173">
        <v>1.0666666666666667</v>
      </c>
      <c r="AM67" s="118">
        <v>0.64</v>
      </c>
      <c r="AN67" s="118">
        <v>0.5</v>
      </c>
    </row>
    <row r="68" spans="1:40" s="57" customFormat="1" ht="15" customHeight="1" x14ac:dyDescent="0.2">
      <c r="A68" s="169" t="s">
        <v>45</v>
      </c>
      <c r="B68" s="150">
        <v>20.41</v>
      </c>
      <c r="C68" s="117">
        <v>51.02</v>
      </c>
      <c r="D68" s="117">
        <v>3.45</v>
      </c>
      <c r="E68" s="135">
        <v>123.09</v>
      </c>
      <c r="F68" s="151"/>
      <c r="G68" s="152"/>
      <c r="H68" s="182">
        <v>0</v>
      </c>
      <c r="I68" s="117">
        <v>0</v>
      </c>
      <c r="J68" s="117">
        <v>0</v>
      </c>
      <c r="K68" s="117">
        <v>0</v>
      </c>
      <c r="L68" s="117">
        <v>0.3</v>
      </c>
      <c r="M68" s="135">
        <v>87.6</v>
      </c>
      <c r="N68" s="151"/>
      <c r="O68" s="152"/>
      <c r="P68" s="182">
        <v>0</v>
      </c>
      <c r="Q68" s="117">
        <v>0</v>
      </c>
      <c r="R68" s="117">
        <v>0</v>
      </c>
      <c r="S68" s="117">
        <v>0</v>
      </c>
      <c r="T68" s="117">
        <v>0.49</v>
      </c>
      <c r="U68" s="117">
        <v>1.48</v>
      </c>
      <c r="V68" s="118">
        <v>1.5</v>
      </c>
      <c r="W68" s="153"/>
      <c r="X68" s="153"/>
      <c r="Y68" s="173">
        <v>0</v>
      </c>
      <c r="Z68" s="156">
        <v>1.48</v>
      </c>
      <c r="AA68" s="333">
        <v>1.48</v>
      </c>
      <c r="AB68" s="318">
        <v>0</v>
      </c>
      <c r="AC68" s="318">
        <v>1.5</v>
      </c>
      <c r="AD68" s="318">
        <v>1.5</v>
      </c>
      <c r="AE68" s="319">
        <v>0</v>
      </c>
      <c r="AG68" s="2"/>
      <c r="AH68" s="2"/>
      <c r="AJ68" s="173">
        <v>0.53333333333333333</v>
      </c>
      <c r="AK68" s="118">
        <v>0.2</v>
      </c>
      <c r="AL68" s="173">
        <v>1.0666666666666667</v>
      </c>
      <c r="AM68" s="118">
        <v>0.70833333333333337</v>
      </c>
      <c r="AN68" s="118">
        <v>0.48</v>
      </c>
    </row>
    <row r="69" spans="1:40" s="57" customFormat="1" ht="15" customHeight="1" x14ac:dyDescent="0.2">
      <c r="A69" s="169" t="s">
        <v>46</v>
      </c>
      <c r="B69" s="150">
        <v>21.07</v>
      </c>
      <c r="C69" s="117">
        <v>52.99</v>
      </c>
      <c r="D69" s="117">
        <v>3.33</v>
      </c>
      <c r="E69" s="135">
        <v>122.85</v>
      </c>
      <c r="F69" s="151"/>
      <c r="G69" s="152"/>
      <c r="H69" s="182">
        <v>0</v>
      </c>
      <c r="I69" s="117">
        <v>0</v>
      </c>
      <c r="J69" s="117">
        <v>0</v>
      </c>
      <c r="K69" s="117">
        <v>0</v>
      </c>
      <c r="L69" s="117">
        <v>0.35</v>
      </c>
      <c r="M69" s="135">
        <v>88.59</v>
      </c>
      <c r="N69" s="151"/>
      <c r="O69" s="152"/>
      <c r="P69" s="182">
        <v>0</v>
      </c>
      <c r="Q69" s="117">
        <v>0</v>
      </c>
      <c r="R69" s="117">
        <v>0</v>
      </c>
      <c r="S69" s="117">
        <v>0</v>
      </c>
      <c r="T69" s="117">
        <v>0.5</v>
      </c>
      <c r="U69" s="117">
        <v>1.43</v>
      </c>
      <c r="V69" s="118">
        <v>1.48</v>
      </c>
      <c r="W69" s="153"/>
      <c r="X69" s="153"/>
      <c r="Y69" s="173">
        <v>0</v>
      </c>
      <c r="Z69" s="156">
        <v>1.43</v>
      </c>
      <c r="AA69" s="333">
        <v>1.43</v>
      </c>
      <c r="AB69" s="318">
        <v>0</v>
      </c>
      <c r="AC69" s="318">
        <v>1.48</v>
      </c>
      <c r="AD69" s="318">
        <v>1.48</v>
      </c>
      <c r="AE69" s="319">
        <v>0</v>
      </c>
      <c r="AG69" s="2"/>
      <c r="AH69" s="2"/>
      <c r="AJ69" s="173">
        <v>0.6</v>
      </c>
      <c r="AK69" s="118">
        <v>0.16</v>
      </c>
      <c r="AL69" s="173">
        <v>1.0666666666666667</v>
      </c>
      <c r="AM69" s="118">
        <v>0.72</v>
      </c>
      <c r="AN69" s="118">
        <v>0.4</v>
      </c>
    </row>
    <row r="70" spans="1:40" s="57" customFormat="1" ht="15" customHeight="1" x14ac:dyDescent="0.2">
      <c r="A70" s="169" t="s">
        <v>47</v>
      </c>
      <c r="B70" s="150">
        <v>21.7</v>
      </c>
      <c r="C70" s="117">
        <v>54.86</v>
      </c>
      <c r="D70" s="117">
        <v>3.23</v>
      </c>
      <c r="E70" s="135">
        <v>119.42</v>
      </c>
      <c r="F70" s="151"/>
      <c r="G70" s="152"/>
      <c r="H70" s="182">
        <v>0</v>
      </c>
      <c r="I70" s="117">
        <v>0</v>
      </c>
      <c r="J70" s="117">
        <v>0</v>
      </c>
      <c r="K70" s="117">
        <v>0</v>
      </c>
      <c r="L70" s="117">
        <v>0.45</v>
      </c>
      <c r="M70" s="135">
        <v>85.14</v>
      </c>
      <c r="N70" s="151"/>
      <c r="O70" s="152"/>
      <c r="P70" s="182">
        <v>0</v>
      </c>
      <c r="Q70" s="117">
        <v>0</v>
      </c>
      <c r="R70" s="117">
        <v>0</v>
      </c>
      <c r="S70" s="117">
        <v>0</v>
      </c>
      <c r="T70" s="117">
        <v>0.5</v>
      </c>
      <c r="U70" s="117">
        <v>1.4</v>
      </c>
      <c r="V70" s="135">
        <v>1.46</v>
      </c>
      <c r="W70" s="334">
        <v>0</v>
      </c>
      <c r="X70" s="335">
        <v>0</v>
      </c>
      <c r="Y70" s="182">
        <v>0</v>
      </c>
      <c r="Z70" s="156">
        <v>1.4</v>
      </c>
      <c r="AA70" s="333">
        <v>1.4</v>
      </c>
      <c r="AB70" s="318">
        <v>0</v>
      </c>
      <c r="AC70" s="318">
        <v>1.46</v>
      </c>
      <c r="AD70" s="318">
        <v>1.46</v>
      </c>
      <c r="AE70" s="319">
        <v>0</v>
      </c>
      <c r="AG70" s="2"/>
      <c r="AH70" s="2"/>
      <c r="AJ70" s="173">
        <v>0.43750000000000006</v>
      </c>
      <c r="AK70" s="118">
        <v>0.125</v>
      </c>
      <c r="AL70" s="173">
        <v>1</v>
      </c>
      <c r="AM70" s="118">
        <v>0.72</v>
      </c>
      <c r="AN70" s="118">
        <v>0.44176706827309237</v>
      </c>
    </row>
    <row r="71" spans="1:40" s="57" customFormat="1" ht="15" customHeight="1" x14ac:dyDescent="0.2">
      <c r="A71" s="169" t="s">
        <v>48</v>
      </c>
      <c r="B71" s="150">
        <v>22.3</v>
      </c>
      <c r="C71" s="117">
        <v>56.4</v>
      </c>
      <c r="D71" s="117">
        <v>3.15</v>
      </c>
      <c r="E71" s="135">
        <v>114.01</v>
      </c>
      <c r="F71" s="151"/>
      <c r="G71" s="152"/>
      <c r="H71" s="182">
        <v>0</v>
      </c>
      <c r="I71" s="117">
        <v>0</v>
      </c>
      <c r="J71" s="117">
        <v>0</v>
      </c>
      <c r="K71" s="117">
        <v>0</v>
      </c>
      <c r="L71" s="117">
        <v>0.5</v>
      </c>
      <c r="M71" s="135">
        <v>80.040000000000006</v>
      </c>
      <c r="N71" s="151"/>
      <c r="O71" s="152"/>
      <c r="P71" s="182">
        <v>0</v>
      </c>
      <c r="Q71" s="117">
        <v>0</v>
      </c>
      <c r="R71" s="117">
        <v>0</v>
      </c>
      <c r="S71" s="117">
        <v>0</v>
      </c>
      <c r="T71" s="117">
        <v>0.5</v>
      </c>
      <c r="U71" s="117">
        <v>1.38</v>
      </c>
      <c r="V71" s="118">
        <v>1.42</v>
      </c>
      <c r="W71" s="153"/>
      <c r="X71" s="153"/>
      <c r="Y71" s="173">
        <v>0</v>
      </c>
      <c r="Z71" s="156">
        <v>1.38</v>
      </c>
      <c r="AA71" s="333">
        <v>1.38</v>
      </c>
      <c r="AB71" s="318">
        <v>0</v>
      </c>
      <c r="AC71" s="318">
        <v>1.42</v>
      </c>
      <c r="AD71" s="318">
        <v>1.42</v>
      </c>
      <c r="AE71" s="319">
        <v>0</v>
      </c>
      <c r="AG71" s="2"/>
      <c r="AH71" s="2"/>
      <c r="AJ71" s="173">
        <v>0.53333333333333333</v>
      </c>
      <c r="AK71" s="118">
        <v>8.3333333333333343E-2</v>
      </c>
      <c r="AL71" s="173">
        <v>1.2</v>
      </c>
      <c r="AM71" s="118">
        <v>0.76</v>
      </c>
      <c r="AN71" s="118">
        <v>0.36</v>
      </c>
    </row>
    <row r="72" spans="1:40" s="57" customFormat="1" ht="15" customHeight="1" x14ac:dyDescent="0.2">
      <c r="A72" s="169" t="s">
        <v>49</v>
      </c>
      <c r="B72" s="150">
        <v>23.01</v>
      </c>
      <c r="C72" s="117">
        <v>57.64</v>
      </c>
      <c r="D72" s="117">
        <v>3.05</v>
      </c>
      <c r="E72" s="135">
        <v>106.11</v>
      </c>
      <c r="F72" s="151"/>
      <c r="G72" s="152"/>
      <c r="H72" s="182">
        <v>0</v>
      </c>
      <c r="I72" s="117">
        <v>0</v>
      </c>
      <c r="J72" s="117">
        <v>0</v>
      </c>
      <c r="K72" s="117">
        <v>0</v>
      </c>
      <c r="L72" s="117">
        <v>0.5</v>
      </c>
      <c r="M72" s="135">
        <v>72.44</v>
      </c>
      <c r="N72" s="151"/>
      <c r="O72" s="152"/>
      <c r="P72" s="182">
        <v>0</v>
      </c>
      <c r="Q72" s="117">
        <v>0</v>
      </c>
      <c r="R72" s="117">
        <v>0</v>
      </c>
      <c r="S72" s="117">
        <v>0</v>
      </c>
      <c r="T72" s="117">
        <v>0.5</v>
      </c>
      <c r="U72" s="117">
        <v>1.35</v>
      </c>
      <c r="V72" s="118">
        <v>1.37</v>
      </c>
      <c r="W72" s="153"/>
      <c r="X72" s="153"/>
      <c r="Y72" s="173">
        <v>0</v>
      </c>
      <c r="Z72" s="156">
        <v>1.35</v>
      </c>
      <c r="AA72" s="333">
        <v>1.35</v>
      </c>
      <c r="AB72" s="318">
        <v>0</v>
      </c>
      <c r="AC72" s="318">
        <v>1.37</v>
      </c>
      <c r="AD72" s="318">
        <v>1.37</v>
      </c>
      <c r="AE72" s="319">
        <v>0</v>
      </c>
      <c r="AG72" s="2"/>
      <c r="AH72" s="2"/>
      <c r="AJ72" s="173">
        <v>0.6</v>
      </c>
      <c r="AK72" s="118">
        <v>8.3333333333333343E-2</v>
      </c>
      <c r="AL72" s="173">
        <v>1</v>
      </c>
      <c r="AM72" s="118">
        <v>0.75</v>
      </c>
      <c r="AN72" s="118">
        <v>0.28000000000000003</v>
      </c>
    </row>
    <row r="73" spans="1:40" s="57" customFormat="1" ht="15" customHeight="1" x14ac:dyDescent="0.2">
      <c r="A73" s="169" t="s">
        <v>50</v>
      </c>
      <c r="B73" s="150">
        <v>23.93</v>
      </c>
      <c r="C73" s="117">
        <v>58.7</v>
      </c>
      <c r="D73" s="117">
        <v>2.94</v>
      </c>
      <c r="E73" s="135">
        <v>98.59</v>
      </c>
      <c r="F73" s="151"/>
      <c r="G73" s="152"/>
      <c r="H73" s="182">
        <v>0</v>
      </c>
      <c r="I73" s="117">
        <v>0</v>
      </c>
      <c r="J73" s="117">
        <v>0</v>
      </c>
      <c r="K73" s="117">
        <v>0</v>
      </c>
      <c r="L73" s="117">
        <v>0.49</v>
      </c>
      <c r="M73" s="135">
        <v>67.900000000000006</v>
      </c>
      <c r="N73" s="151"/>
      <c r="O73" s="152"/>
      <c r="P73" s="182">
        <v>0</v>
      </c>
      <c r="Q73" s="117">
        <v>0</v>
      </c>
      <c r="R73" s="117">
        <v>0</v>
      </c>
      <c r="S73" s="117">
        <v>0</v>
      </c>
      <c r="T73" s="117">
        <v>0.51</v>
      </c>
      <c r="U73" s="117">
        <v>1.32</v>
      </c>
      <c r="V73" s="118">
        <v>1.32</v>
      </c>
      <c r="W73" s="153"/>
      <c r="X73" s="153"/>
      <c r="Y73" s="173">
        <v>0</v>
      </c>
      <c r="Z73" s="156">
        <v>1.32</v>
      </c>
      <c r="AA73" s="333">
        <v>1.32</v>
      </c>
      <c r="AB73" s="318">
        <v>0</v>
      </c>
      <c r="AC73" s="318">
        <v>1.32</v>
      </c>
      <c r="AD73" s="318">
        <v>1.32</v>
      </c>
      <c r="AE73" s="319">
        <v>0</v>
      </c>
      <c r="AG73" s="2"/>
      <c r="AH73" s="2"/>
      <c r="AJ73" s="173">
        <v>0.66666666666666674</v>
      </c>
      <c r="AK73" s="118">
        <v>0.13043478260869565</v>
      </c>
      <c r="AL73" s="173">
        <v>1.3333333333333335</v>
      </c>
      <c r="AM73" s="118">
        <v>0.95454545454545447</v>
      </c>
      <c r="AN73" s="118">
        <v>0.29166666666666669</v>
      </c>
    </row>
    <row r="74" spans="1:40" s="57" customFormat="1" ht="15" customHeight="1" x14ac:dyDescent="0.2">
      <c r="A74" s="169" t="s">
        <v>51</v>
      </c>
      <c r="B74" s="150">
        <v>24.95</v>
      </c>
      <c r="C74" s="117">
        <v>59.33</v>
      </c>
      <c r="D74" s="117">
        <v>2.81</v>
      </c>
      <c r="E74" s="135">
        <v>93.03</v>
      </c>
      <c r="F74" s="151"/>
      <c r="G74" s="152"/>
      <c r="H74" s="182">
        <v>0</v>
      </c>
      <c r="I74" s="117">
        <v>0</v>
      </c>
      <c r="J74" s="117">
        <v>0</v>
      </c>
      <c r="K74" s="117">
        <v>0</v>
      </c>
      <c r="L74" s="117">
        <v>0.49</v>
      </c>
      <c r="M74" s="135">
        <v>69.849999999999994</v>
      </c>
      <c r="N74" s="151"/>
      <c r="O74" s="152"/>
      <c r="P74" s="182">
        <v>0</v>
      </c>
      <c r="Q74" s="117">
        <v>0</v>
      </c>
      <c r="R74" s="117">
        <v>0</v>
      </c>
      <c r="S74" s="117">
        <v>0</v>
      </c>
      <c r="T74" s="117">
        <v>0.51</v>
      </c>
      <c r="U74" s="117">
        <v>1.3</v>
      </c>
      <c r="V74" s="118">
        <v>1.27</v>
      </c>
      <c r="W74" s="153"/>
      <c r="X74" s="153"/>
      <c r="Y74" s="173">
        <v>0</v>
      </c>
      <c r="Z74" s="156">
        <v>1.3</v>
      </c>
      <c r="AA74" s="333">
        <v>1.3</v>
      </c>
      <c r="AB74" s="318">
        <v>0</v>
      </c>
      <c r="AC74" s="318">
        <v>1.27</v>
      </c>
      <c r="AD74" s="318">
        <v>1.27</v>
      </c>
      <c r="AE74" s="319">
        <v>0</v>
      </c>
      <c r="AG74" s="2"/>
      <c r="AH74" s="2"/>
      <c r="AJ74" s="173">
        <v>0.6</v>
      </c>
      <c r="AK74" s="118">
        <v>0.125</v>
      </c>
      <c r="AL74" s="173">
        <v>1.3333333333333335</v>
      </c>
      <c r="AM74" s="118">
        <v>0.91304347826086951</v>
      </c>
      <c r="AN74" s="118">
        <v>0.25</v>
      </c>
    </row>
    <row r="75" spans="1:40" s="57" customFormat="1" ht="15" customHeight="1" x14ac:dyDescent="0.2">
      <c r="A75" s="169" t="s">
        <v>52</v>
      </c>
      <c r="B75" s="150">
        <v>26.27</v>
      </c>
      <c r="C75" s="117">
        <v>60.02</v>
      </c>
      <c r="D75" s="117">
        <v>2.69</v>
      </c>
      <c r="E75" s="135">
        <v>90.89</v>
      </c>
      <c r="F75" s="151"/>
      <c r="G75" s="152"/>
      <c r="H75" s="182">
        <v>0</v>
      </c>
      <c r="I75" s="117">
        <v>0</v>
      </c>
      <c r="J75" s="117">
        <v>0</v>
      </c>
      <c r="K75" s="117">
        <v>0</v>
      </c>
      <c r="L75" s="117">
        <v>0.49</v>
      </c>
      <c r="M75" s="135">
        <v>83.86</v>
      </c>
      <c r="N75" s="151"/>
      <c r="O75" s="152"/>
      <c r="P75" s="182">
        <v>0</v>
      </c>
      <c r="Q75" s="117">
        <v>0</v>
      </c>
      <c r="R75" s="117">
        <v>0</v>
      </c>
      <c r="S75" s="117">
        <v>0</v>
      </c>
      <c r="T75" s="117">
        <v>0.51</v>
      </c>
      <c r="U75" s="117">
        <v>1.26</v>
      </c>
      <c r="V75" s="118">
        <v>1.23</v>
      </c>
      <c r="W75" s="153"/>
      <c r="X75" s="153"/>
      <c r="Y75" s="173">
        <v>0</v>
      </c>
      <c r="Z75" s="156">
        <v>1.26</v>
      </c>
      <c r="AA75" s="333">
        <v>1.26</v>
      </c>
      <c r="AB75" s="318">
        <v>0</v>
      </c>
      <c r="AC75" s="318">
        <v>1.23</v>
      </c>
      <c r="AD75" s="318">
        <v>1.23</v>
      </c>
      <c r="AE75" s="319">
        <v>0</v>
      </c>
      <c r="AG75" s="2"/>
      <c r="AH75" s="2"/>
      <c r="AJ75" s="173">
        <v>0.53333333333333333</v>
      </c>
      <c r="AK75" s="118">
        <v>0.125</v>
      </c>
      <c r="AL75" s="173">
        <v>1.2</v>
      </c>
      <c r="AM75" s="118">
        <v>0.83333333333333337</v>
      </c>
      <c r="AN75" s="118">
        <v>0.32</v>
      </c>
    </row>
    <row r="76" spans="1:40" s="57" customFormat="1" ht="15" customHeight="1" x14ac:dyDescent="0.2">
      <c r="A76" s="169" t="s">
        <v>53</v>
      </c>
      <c r="B76" s="150">
        <v>26.04</v>
      </c>
      <c r="C76" s="117">
        <v>60.79</v>
      </c>
      <c r="D76" s="117">
        <v>2.58</v>
      </c>
      <c r="E76" s="135">
        <v>88.17</v>
      </c>
      <c r="F76" s="151"/>
      <c r="G76" s="152"/>
      <c r="H76" s="182">
        <v>0</v>
      </c>
      <c r="I76" s="117">
        <v>0</v>
      </c>
      <c r="J76" s="117">
        <v>0</v>
      </c>
      <c r="K76" s="117">
        <v>0</v>
      </c>
      <c r="L76" s="117">
        <v>0.47</v>
      </c>
      <c r="M76" s="135">
        <v>98.6</v>
      </c>
      <c r="N76" s="151"/>
      <c r="O76" s="152"/>
      <c r="P76" s="182">
        <v>0</v>
      </c>
      <c r="Q76" s="117">
        <v>0</v>
      </c>
      <c r="R76" s="117">
        <v>0</v>
      </c>
      <c r="S76" s="117">
        <v>0</v>
      </c>
      <c r="T76" s="117">
        <v>0.5</v>
      </c>
      <c r="U76" s="117">
        <v>1.26</v>
      </c>
      <c r="V76" s="118">
        <v>1.21</v>
      </c>
      <c r="W76" s="153"/>
      <c r="X76" s="153"/>
      <c r="Y76" s="173">
        <v>0</v>
      </c>
      <c r="Z76" s="156">
        <v>1.26</v>
      </c>
      <c r="AA76" s="333">
        <v>1.26</v>
      </c>
      <c r="AB76" s="318">
        <v>0</v>
      </c>
      <c r="AC76" s="318">
        <v>1.3</v>
      </c>
      <c r="AD76" s="318">
        <v>1.21</v>
      </c>
      <c r="AE76" s="319">
        <v>0</v>
      </c>
      <c r="AG76" s="2"/>
      <c r="AH76" s="2"/>
      <c r="AJ76" s="173">
        <v>0.33333333333333337</v>
      </c>
      <c r="AK76" s="118">
        <v>0.10526315789473684</v>
      </c>
      <c r="AL76" s="173">
        <v>1.2</v>
      </c>
      <c r="AM76" s="118">
        <v>0.72</v>
      </c>
      <c r="AN76" s="118">
        <v>0.43478260869565216</v>
      </c>
    </row>
    <row r="77" spans="1:40" s="57" customFormat="1" ht="15" customHeight="1" x14ac:dyDescent="0.2">
      <c r="A77" s="169" t="s">
        <v>54</v>
      </c>
      <c r="B77" s="150">
        <v>25.33</v>
      </c>
      <c r="C77" s="117">
        <v>62.01</v>
      </c>
      <c r="D77" s="117">
        <v>2.57</v>
      </c>
      <c r="E77" s="135">
        <v>84.09</v>
      </c>
      <c r="F77" s="151"/>
      <c r="G77" s="152"/>
      <c r="H77" s="182">
        <v>0</v>
      </c>
      <c r="I77" s="117">
        <v>0</v>
      </c>
      <c r="J77" s="117">
        <v>0</v>
      </c>
      <c r="K77" s="117">
        <v>0</v>
      </c>
      <c r="L77" s="117">
        <v>0.3</v>
      </c>
      <c r="M77" s="135">
        <v>97.1</v>
      </c>
      <c r="N77" s="151"/>
      <c r="O77" s="152"/>
      <c r="P77" s="182">
        <v>0</v>
      </c>
      <c r="Q77" s="117">
        <v>0</v>
      </c>
      <c r="R77" s="117">
        <v>0</v>
      </c>
      <c r="S77" s="117">
        <v>0</v>
      </c>
      <c r="T77" s="117">
        <v>0.5</v>
      </c>
      <c r="U77" s="117">
        <v>1.2</v>
      </c>
      <c r="V77" s="118">
        <v>1.22</v>
      </c>
      <c r="W77" s="153"/>
      <c r="X77" s="153"/>
      <c r="Y77" s="173">
        <v>0</v>
      </c>
      <c r="Z77" s="156">
        <v>1.2</v>
      </c>
      <c r="AA77" s="333">
        <v>1.2</v>
      </c>
      <c r="AB77" s="318">
        <v>0</v>
      </c>
      <c r="AC77" s="318">
        <v>1.22</v>
      </c>
      <c r="AD77" s="318">
        <v>1.22</v>
      </c>
      <c r="AE77" s="319">
        <v>0</v>
      </c>
      <c r="AG77" s="2"/>
      <c r="AH77" s="2"/>
      <c r="AJ77" s="173">
        <v>0.46666666666666673</v>
      </c>
      <c r="AK77" s="118">
        <v>0.125</v>
      </c>
      <c r="AL77" s="173">
        <v>1.2666666666666668</v>
      </c>
      <c r="AM77" s="118">
        <v>0.70833333333333337</v>
      </c>
      <c r="AN77" s="118">
        <v>0.45833333333333337</v>
      </c>
    </row>
    <row r="78" spans="1:40" s="57" customFormat="1" ht="15" customHeight="1" x14ac:dyDescent="0.2">
      <c r="A78" s="169" t="s">
        <v>55</v>
      </c>
      <c r="B78" s="150">
        <v>24.33</v>
      </c>
      <c r="C78" s="117">
        <v>62.95</v>
      </c>
      <c r="D78" s="117">
        <v>2.52</v>
      </c>
      <c r="E78" s="135">
        <v>78.069999999999993</v>
      </c>
      <c r="F78" s="151"/>
      <c r="G78" s="152"/>
      <c r="H78" s="182">
        <v>0</v>
      </c>
      <c r="I78" s="117">
        <v>0</v>
      </c>
      <c r="J78" s="117">
        <v>0</v>
      </c>
      <c r="K78" s="117">
        <v>0</v>
      </c>
      <c r="L78" s="117">
        <v>0.3</v>
      </c>
      <c r="M78" s="135">
        <v>93.28</v>
      </c>
      <c r="N78" s="151"/>
      <c r="O78" s="152"/>
      <c r="P78" s="182">
        <v>0</v>
      </c>
      <c r="Q78" s="117">
        <v>0</v>
      </c>
      <c r="R78" s="117">
        <v>0</v>
      </c>
      <c r="S78" s="117">
        <v>0</v>
      </c>
      <c r="T78" s="117">
        <v>0.5</v>
      </c>
      <c r="U78" s="117">
        <v>1.19</v>
      </c>
      <c r="V78" s="118">
        <v>1.18</v>
      </c>
      <c r="W78" s="153"/>
      <c r="X78" s="153"/>
      <c r="Y78" s="173">
        <v>0</v>
      </c>
      <c r="Z78" s="156">
        <v>1.19</v>
      </c>
      <c r="AA78" s="333">
        <v>1.19</v>
      </c>
      <c r="AB78" s="318">
        <v>0</v>
      </c>
      <c r="AC78" s="318">
        <v>1.18</v>
      </c>
      <c r="AD78" s="318">
        <v>1.18</v>
      </c>
      <c r="AE78" s="319">
        <v>0</v>
      </c>
      <c r="AG78" s="2"/>
      <c r="AH78" s="2"/>
      <c r="AJ78" s="173">
        <v>0.33333333333333337</v>
      </c>
      <c r="AK78" s="118">
        <v>0.04</v>
      </c>
      <c r="AL78" s="173">
        <v>1.2</v>
      </c>
      <c r="AM78" s="118">
        <v>0.64</v>
      </c>
      <c r="AN78" s="118">
        <v>0.48</v>
      </c>
    </row>
    <row r="79" spans="1:40" s="57" customFormat="1" ht="15" customHeight="1" x14ac:dyDescent="0.2">
      <c r="A79" s="169" t="s">
        <v>56</v>
      </c>
      <c r="B79" s="150">
        <v>23.35</v>
      </c>
      <c r="C79" s="117">
        <v>64.25</v>
      </c>
      <c r="D79" s="117">
        <v>2.4700000000000002</v>
      </c>
      <c r="E79" s="135">
        <v>71.069999999999993</v>
      </c>
      <c r="F79" s="151"/>
      <c r="G79" s="152"/>
      <c r="H79" s="182">
        <v>0</v>
      </c>
      <c r="I79" s="117">
        <v>0</v>
      </c>
      <c r="J79" s="162">
        <v>0</v>
      </c>
      <c r="K79" s="162">
        <v>0</v>
      </c>
      <c r="L79" s="117">
        <v>0.3</v>
      </c>
      <c r="M79" s="135">
        <v>89.2</v>
      </c>
      <c r="N79" s="151"/>
      <c r="O79" s="152"/>
      <c r="P79" s="182">
        <v>0</v>
      </c>
      <c r="Q79" s="117">
        <v>0</v>
      </c>
      <c r="R79" s="117">
        <v>0</v>
      </c>
      <c r="S79" s="117">
        <v>0</v>
      </c>
      <c r="T79" s="117">
        <v>0.5</v>
      </c>
      <c r="U79" s="117">
        <v>1.1599999999999999</v>
      </c>
      <c r="V79" s="135">
        <v>1.1399999999999999</v>
      </c>
      <c r="W79" s="334">
        <v>0</v>
      </c>
      <c r="X79" s="335">
        <v>0</v>
      </c>
      <c r="Y79" s="182">
        <v>0</v>
      </c>
      <c r="Z79" s="156">
        <v>1.1599999999999999</v>
      </c>
      <c r="AA79" s="333">
        <v>1.1599999999999999</v>
      </c>
      <c r="AB79" s="318">
        <v>0</v>
      </c>
      <c r="AC79" s="318">
        <v>1.1399999999999999</v>
      </c>
      <c r="AD79" s="318">
        <v>1.1399999999999999</v>
      </c>
      <c r="AE79" s="319">
        <v>0</v>
      </c>
      <c r="AG79" s="2"/>
      <c r="AH79" s="2"/>
      <c r="AJ79" s="336">
        <v>0.125</v>
      </c>
      <c r="AK79" s="195">
        <v>6.6666666666666666E-2</v>
      </c>
      <c r="AL79" s="173">
        <v>1.2666666666666668</v>
      </c>
      <c r="AM79" s="118">
        <v>0.64</v>
      </c>
      <c r="AN79" s="118">
        <v>0.66666666666666674</v>
      </c>
    </row>
    <row r="80" spans="1:40" s="57" customFormat="1" ht="15" customHeight="1" x14ac:dyDescent="0.2">
      <c r="A80" s="169" t="s">
        <v>57</v>
      </c>
      <c r="B80" s="186">
        <v>22.44</v>
      </c>
      <c r="C80" s="187">
        <v>64.959999999999994</v>
      </c>
      <c r="D80" s="187">
        <v>2.42</v>
      </c>
      <c r="E80" s="188">
        <v>63.17</v>
      </c>
      <c r="F80" s="151"/>
      <c r="G80" s="152"/>
      <c r="H80" s="192">
        <v>0</v>
      </c>
      <c r="I80" s="188">
        <v>0</v>
      </c>
      <c r="J80" s="337"/>
      <c r="K80" s="338"/>
      <c r="L80" s="192">
        <v>0.32</v>
      </c>
      <c r="M80" s="188">
        <v>82.12</v>
      </c>
      <c r="N80" s="151"/>
      <c r="O80" s="152"/>
      <c r="P80" s="192">
        <v>0</v>
      </c>
      <c r="Q80" s="187">
        <v>0</v>
      </c>
      <c r="R80" s="187">
        <v>0</v>
      </c>
      <c r="S80" s="187">
        <v>0</v>
      </c>
      <c r="T80" s="187">
        <v>0.5</v>
      </c>
      <c r="U80" s="187">
        <v>1.1100000000000001</v>
      </c>
      <c r="V80" s="195">
        <v>1.1100000000000001</v>
      </c>
      <c r="W80" s="153"/>
      <c r="X80" s="153"/>
      <c r="Y80" s="339">
        <v>0</v>
      </c>
      <c r="Z80" s="340">
        <v>1.1100000000000001</v>
      </c>
      <c r="AA80" s="333">
        <v>1.1100000000000001</v>
      </c>
      <c r="AB80" s="318">
        <v>0</v>
      </c>
      <c r="AC80" s="318">
        <v>1.1100000000000001</v>
      </c>
      <c r="AD80" s="318">
        <v>1.1100000000000001</v>
      </c>
      <c r="AE80" s="319">
        <v>0</v>
      </c>
      <c r="AG80" s="2"/>
      <c r="AH80" s="2"/>
      <c r="AL80" s="336">
        <v>1</v>
      </c>
      <c r="AM80" s="195">
        <v>0.4</v>
      </c>
      <c r="AN80" s="195">
        <v>0.75</v>
      </c>
    </row>
    <row r="81" spans="1:73" s="57" customFormat="1" ht="15" customHeight="1" x14ac:dyDescent="0.2">
      <c r="A81" s="341" t="s">
        <v>58</v>
      </c>
      <c r="B81" s="77"/>
      <c r="O81" s="77"/>
      <c r="P81" s="77"/>
      <c r="Q81" s="77"/>
      <c r="R81" s="77"/>
      <c r="Z81" s="342">
        <v>1.1100000000000001</v>
      </c>
      <c r="AA81" s="343">
        <v>1.1100000000000001</v>
      </c>
      <c r="AB81" s="343">
        <v>0</v>
      </c>
      <c r="AC81" s="343">
        <v>1.1100000000000001</v>
      </c>
      <c r="AD81" s="343">
        <v>1.1100000000000001</v>
      </c>
      <c r="AE81" s="344">
        <v>0</v>
      </c>
      <c r="AG81" s="208"/>
      <c r="AM81" s="2"/>
      <c r="AN81" s="2"/>
    </row>
    <row r="82" spans="1:73" s="57" customFormat="1" ht="15" customHeight="1" x14ac:dyDescent="0.2">
      <c r="B82" s="209" t="s">
        <v>59</v>
      </c>
      <c r="C82" s="209"/>
      <c r="D82" s="209"/>
      <c r="E82" s="209"/>
      <c r="F82" s="209" t="s">
        <v>60</v>
      </c>
      <c r="G82" s="209"/>
      <c r="H82" s="209"/>
      <c r="I82" s="210" t="s">
        <v>61</v>
      </c>
      <c r="J82" s="345"/>
      <c r="K82" s="346"/>
      <c r="L82" s="346"/>
      <c r="M82" s="346"/>
      <c r="N82" s="346"/>
      <c r="O82" s="346"/>
      <c r="P82" s="346"/>
      <c r="Q82" s="346"/>
      <c r="S82" s="213" t="s">
        <v>64</v>
      </c>
      <c r="W82" s="213" t="s">
        <v>65</v>
      </c>
      <c r="AA82" s="213" t="s">
        <v>66</v>
      </c>
      <c r="AE82" s="77"/>
      <c r="AM82" s="2"/>
      <c r="AN82" s="2"/>
    </row>
    <row r="83" spans="1:73" s="57" customFormat="1" ht="15" customHeight="1" x14ac:dyDescent="0.2">
      <c r="B83" s="217" t="s">
        <v>68</v>
      </c>
      <c r="C83" s="218"/>
      <c r="D83" s="218"/>
      <c r="E83" s="219"/>
      <c r="F83" s="220" t="s">
        <v>69</v>
      </c>
      <c r="G83" s="221"/>
      <c r="H83" s="222"/>
      <c r="I83" s="347" t="s">
        <v>87</v>
      </c>
      <c r="J83" s="348"/>
      <c r="K83" s="262"/>
      <c r="L83" s="262"/>
      <c r="M83" s="262"/>
      <c r="N83" s="262"/>
      <c r="O83" s="262"/>
      <c r="P83" s="262"/>
      <c r="Q83" s="262"/>
      <c r="S83" s="228">
        <v>0</v>
      </c>
      <c r="T83" s="228">
        <v>0</v>
      </c>
      <c r="U83" s="229"/>
      <c r="V83" s="228">
        <v>0</v>
      </c>
      <c r="W83" s="228">
        <v>0</v>
      </c>
      <c r="X83" s="228">
        <v>0</v>
      </c>
      <c r="Y83" s="230"/>
      <c r="Z83" s="228">
        <v>0</v>
      </c>
      <c r="AA83" s="228">
        <v>0</v>
      </c>
      <c r="AB83" s="228">
        <v>0</v>
      </c>
      <c r="AD83" s="229"/>
      <c r="AM83" s="2"/>
      <c r="AN83" s="2"/>
    </row>
    <row r="84" spans="1:73" s="57" customFormat="1" ht="15" customHeight="1" x14ac:dyDescent="0.2">
      <c r="B84" s="235" t="s">
        <v>42</v>
      </c>
      <c r="C84" s="236" t="s">
        <v>48</v>
      </c>
      <c r="D84" s="236" t="s">
        <v>51</v>
      </c>
      <c r="E84" s="237" t="s">
        <v>53</v>
      </c>
      <c r="F84" s="238">
        <v>0</v>
      </c>
      <c r="G84" s="239" t="s">
        <v>73</v>
      </c>
      <c r="H84" s="240">
        <v>0</v>
      </c>
      <c r="I84" s="349">
        <v>580</v>
      </c>
      <c r="J84" s="348"/>
      <c r="K84" s="262"/>
      <c r="L84" s="262"/>
      <c r="M84" s="262"/>
      <c r="N84" s="262"/>
      <c r="O84" s="262"/>
      <c r="P84" s="262"/>
      <c r="Q84" s="262"/>
      <c r="S84" s="246"/>
      <c r="T84" s="229"/>
      <c r="U84" s="229"/>
      <c r="X84" s="229"/>
      <c r="Y84" s="229"/>
      <c r="Z84" s="229"/>
      <c r="AC84" s="229"/>
      <c r="AD84" s="229"/>
      <c r="AM84" s="2"/>
      <c r="AN84" s="2"/>
    </row>
    <row r="85" spans="1:73" ht="11.25" customHeight="1" x14ac:dyDescent="0.2">
      <c r="B85" s="350">
        <v>0</v>
      </c>
      <c r="C85" s="351">
        <v>0</v>
      </c>
      <c r="D85" s="351">
        <v>0</v>
      </c>
      <c r="E85" s="352">
        <v>0</v>
      </c>
      <c r="F85" s="251" t="s">
        <v>101</v>
      </c>
      <c r="G85" s="252"/>
      <c r="H85" s="253" t="s">
        <v>101</v>
      </c>
      <c r="I85" s="353" t="s">
        <v>101</v>
      </c>
      <c r="J85" s="348"/>
      <c r="K85" s="262"/>
      <c r="L85" s="262"/>
      <c r="M85" s="262"/>
      <c r="N85" s="262"/>
      <c r="O85" s="262"/>
      <c r="P85" s="262"/>
      <c r="Q85" s="262"/>
      <c r="AC85" s="262"/>
      <c r="AD85" s="262"/>
      <c r="AE85" s="262"/>
    </row>
    <row r="86" spans="1:73" ht="30" customHeight="1" x14ac:dyDescent="0.2">
      <c r="B86" s="228" t="s">
        <v>257</v>
      </c>
      <c r="C86" s="228">
        <v>1.05</v>
      </c>
      <c r="D86" s="228" t="s">
        <v>258</v>
      </c>
      <c r="E86" s="228">
        <v>0.9</v>
      </c>
      <c r="AG86" s="57"/>
    </row>
    <row r="87" spans="1:73" s="57" customFormat="1" ht="15" customHeight="1" x14ac:dyDescent="0.2">
      <c r="B87" s="354" t="s">
        <v>88</v>
      </c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  <c r="AB87" s="354"/>
      <c r="AC87" s="354"/>
      <c r="AD87" s="354"/>
      <c r="AE87" s="354"/>
      <c r="AF87" s="2"/>
      <c r="AH87" s="2"/>
      <c r="AI87" s="2"/>
      <c r="AJ87" s="355"/>
      <c r="AK87" s="356" t="s">
        <v>89</v>
      </c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8"/>
      <c r="BO87" s="2"/>
      <c r="BP87" s="2"/>
      <c r="BQ87" s="2"/>
      <c r="BR87" s="2"/>
      <c r="BS87" s="2"/>
      <c r="BT87" s="2"/>
      <c r="BU87" s="2"/>
    </row>
    <row r="88" spans="1:73" ht="60" customHeight="1" x14ac:dyDescent="0.2">
      <c r="A88" s="359"/>
      <c r="B88" s="360" t="s">
        <v>108</v>
      </c>
      <c r="C88" s="361" t="s">
        <v>109</v>
      </c>
      <c r="D88" s="361" t="s">
        <v>110</v>
      </c>
      <c r="E88" s="361" t="s">
        <v>111</v>
      </c>
      <c r="F88" s="362" t="s">
        <v>112</v>
      </c>
      <c r="G88" s="363"/>
      <c r="H88" s="364" t="s">
        <v>113</v>
      </c>
      <c r="I88" s="364" t="s">
        <v>114</v>
      </c>
      <c r="J88" s="361" t="s">
        <v>82</v>
      </c>
      <c r="K88" s="361" t="s">
        <v>83</v>
      </c>
      <c r="L88" s="361" t="s">
        <v>115</v>
      </c>
      <c r="M88" s="361" t="s">
        <v>116</v>
      </c>
      <c r="N88" s="362" t="s">
        <v>117</v>
      </c>
      <c r="O88" s="363"/>
      <c r="P88" s="364" t="s">
        <v>118</v>
      </c>
      <c r="Q88" s="364" t="s">
        <v>119</v>
      </c>
      <c r="R88" s="361" t="s">
        <v>84</v>
      </c>
      <c r="S88" s="361" t="s">
        <v>85</v>
      </c>
      <c r="T88" s="361" t="s">
        <v>120</v>
      </c>
      <c r="U88" s="365" t="s">
        <v>121</v>
      </c>
      <c r="V88" s="365" t="s">
        <v>122</v>
      </c>
      <c r="W88" s="361" t="s">
        <v>123</v>
      </c>
      <c r="X88" s="361" t="s">
        <v>124</v>
      </c>
      <c r="Y88" s="366" t="s">
        <v>86</v>
      </c>
      <c r="Z88" s="366" t="s">
        <v>125</v>
      </c>
      <c r="AA88" s="367" t="s">
        <v>126</v>
      </c>
      <c r="AB88" s="366" t="s">
        <v>127</v>
      </c>
      <c r="AC88" s="366" t="s">
        <v>128</v>
      </c>
      <c r="AD88" s="367" t="s">
        <v>129</v>
      </c>
      <c r="AE88" s="366" t="s">
        <v>130</v>
      </c>
      <c r="AJ88" s="368"/>
      <c r="AK88" s="369" t="s">
        <v>108</v>
      </c>
      <c r="AL88" s="369" t="s">
        <v>109</v>
      </c>
      <c r="AM88" s="370" t="s">
        <v>110</v>
      </c>
      <c r="AN88" s="371" t="s">
        <v>111</v>
      </c>
      <c r="AO88" s="372" t="s">
        <v>112</v>
      </c>
      <c r="AP88" s="373"/>
      <c r="AQ88" s="374" t="s">
        <v>113</v>
      </c>
      <c r="AR88" s="375" t="s">
        <v>114</v>
      </c>
      <c r="AS88" s="371" t="s">
        <v>82</v>
      </c>
      <c r="AT88" s="371" t="s">
        <v>83</v>
      </c>
      <c r="AU88" s="371" t="s">
        <v>115</v>
      </c>
      <c r="AV88" s="376" t="s">
        <v>116</v>
      </c>
      <c r="AW88" s="377" t="s">
        <v>117</v>
      </c>
      <c r="AX88" s="378"/>
      <c r="AY88" s="379" t="s">
        <v>118</v>
      </c>
      <c r="AZ88" s="379" t="s">
        <v>119</v>
      </c>
      <c r="BA88" s="376" t="s">
        <v>84</v>
      </c>
      <c r="BB88" s="376" t="s">
        <v>85</v>
      </c>
      <c r="BC88" s="376" t="s">
        <v>120</v>
      </c>
      <c r="BD88" s="380" t="s">
        <v>121</v>
      </c>
      <c r="BE88" s="381" t="s">
        <v>122</v>
      </c>
      <c r="BF88" s="382" t="s">
        <v>123</v>
      </c>
      <c r="BG88" s="383" t="s">
        <v>124</v>
      </c>
      <c r="BH88" s="384" t="s">
        <v>86</v>
      </c>
      <c r="BI88" s="385" t="s">
        <v>125</v>
      </c>
      <c r="BJ88" s="386" t="s">
        <v>126</v>
      </c>
      <c r="BK88" s="385" t="s">
        <v>127</v>
      </c>
      <c r="BL88" s="385" t="s">
        <v>128</v>
      </c>
      <c r="BM88" s="386" t="s">
        <v>129</v>
      </c>
      <c r="BN88" s="385" t="s">
        <v>130</v>
      </c>
    </row>
    <row r="89" spans="1:73" s="57" customFormat="1" ht="15" customHeight="1" x14ac:dyDescent="0.2">
      <c r="A89" s="387" t="s">
        <v>28</v>
      </c>
      <c r="B89" s="337"/>
      <c r="C89" s="77"/>
      <c r="D89" s="77"/>
      <c r="E89" s="77"/>
      <c r="F89" s="388">
        <v>0.8</v>
      </c>
      <c r="G89" s="79"/>
      <c r="H89" s="309">
        <v>0.3</v>
      </c>
      <c r="I89" s="389">
        <v>0.3</v>
      </c>
      <c r="J89" s="77"/>
      <c r="K89" s="77"/>
      <c r="L89" s="77"/>
      <c r="M89" s="77"/>
      <c r="N89" s="388">
        <v>0.8</v>
      </c>
      <c r="O89" s="79"/>
      <c r="P89" s="309">
        <v>0.3</v>
      </c>
      <c r="Q89" s="389">
        <v>0.3</v>
      </c>
      <c r="R89" s="77"/>
      <c r="S89" s="77"/>
      <c r="T89" s="77"/>
      <c r="U89" s="77"/>
      <c r="V89" s="77"/>
      <c r="W89" s="77"/>
      <c r="X89" s="77"/>
      <c r="Y89" s="77"/>
      <c r="Z89" s="390"/>
      <c r="AA89" s="77"/>
      <c r="AB89" s="77"/>
      <c r="AC89" s="77"/>
      <c r="AD89" s="77"/>
      <c r="AE89" s="390"/>
      <c r="AG89" s="2"/>
      <c r="AH89" s="2"/>
      <c r="AJ89" s="391" t="s">
        <v>28</v>
      </c>
      <c r="AK89" s="392"/>
      <c r="AL89" s="390"/>
      <c r="AM89" s="390"/>
      <c r="AN89" s="393"/>
      <c r="AO89" s="388">
        <v>1000</v>
      </c>
      <c r="AP89" s="79"/>
      <c r="AQ89" s="80">
        <v>0.39</v>
      </c>
      <c r="AR89" s="394">
        <v>0.39</v>
      </c>
      <c r="AS89" s="395"/>
      <c r="AT89" s="395"/>
      <c r="AU89" s="395"/>
      <c r="AV89" s="396"/>
      <c r="AW89" s="388">
        <v>1000</v>
      </c>
      <c r="AX89" s="79"/>
      <c r="AY89" s="80">
        <v>0.39</v>
      </c>
      <c r="AZ89" s="394">
        <v>0.39</v>
      </c>
      <c r="BA89" s="395" t="s">
        <v>101</v>
      </c>
      <c r="BB89" s="395" t="s">
        <v>101</v>
      </c>
      <c r="BC89" s="395" t="s">
        <v>101</v>
      </c>
      <c r="BD89" s="397"/>
      <c r="BE89" s="397"/>
      <c r="BF89" s="398"/>
      <c r="BG89" s="398"/>
      <c r="BH89" s="398"/>
      <c r="BI89" s="399"/>
      <c r="BJ89" s="399"/>
      <c r="BK89" s="399"/>
      <c r="BL89" s="399"/>
      <c r="BM89" s="399"/>
      <c r="BN89" s="399"/>
    </row>
    <row r="90" spans="1:73" s="57" customFormat="1" ht="15" customHeight="1" x14ac:dyDescent="0.2">
      <c r="A90" s="169" t="s">
        <v>29</v>
      </c>
      <c r="B90" s="76"/>
      <c r="C90" s="77"/>
      <c r="D90" s="77"/>
      <c r="E90" s="77"/>
      <c r="F90" s="99">
        <v>0.8</v>
      </c>
      <c r="G90" s="100"/>
      <c r="H90" s="117">
        <v>0.3</v>
      </c>
      <c r="I90" s="118">
        <v>0.3</v>
      </c>
      <c r="J90" s="77"/>
      <c r="K90" s="77"/>
      <c r="L90" s="77"/>
      <c r="M90" s="77"/>
      <c r="N90" s="99">
        <v>0.8</v>
      </c>
      <c r="O90" s="100"/>
      <c r="P90" s="117">
        <v>0.3</v>
      </c>
      <c r="Q90" s="118">
        <v>0.3</v>
      </c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G90" s="2"/>
      <c r="AH90" s="2"/>
      <c r="AJ90" s="400" t="s">
        <v>29</v>
      </c>
      <c r="AK90" s="401"/>
      <c r="AL90" s="77"/>
      <c r="AM90" s="77"/>
      <c r="AN90" s="393"/>
      <c r="AO90" s="99">
        <v>1000</v>
      </c>
      <c r="AP90" s="100"/>
      <c r="AQ90" s="101">
        <v>0.39</v>
      </c>
      <c r="AR90" s="102">
        <v>0.39</v>
      </c>
      <c r="AS90" s="395"/>
      <c r="AT90" s="395"/>
      <c r="AU90" s="395"/>
      <c r="AV90" s="396"/>
      <c r="AW90" s="99">
        <v>1000</v>
      </c>
      <c r="AX90" s="100"/>
      <c r="AY90" s="101">
        <v>0.39</v>
      </c>
      <c r="AZ90" s="102">
        <v>0.39</v>
      </c>
      <c r="BA90" s="395" t="s">
        <v>101</v>
      </c>
      <c r="BB90" s="395" t="s">
        <v>101</v>
      </c>
      <c r="BC90" s="395" t="s">
        <v>101</v>
      </c>
      <c r="BD90" s="402"/>
      <c r="BE90" s="402"/>
      <c r="BF90" s="403"/>
      <c r="BG90" s="403"/>
      <c r="BH90" s="403"/>
      <c r="BI90" s="399"/>
      <c r="BJ90" s="399"/>
      <c r="BK90" s="399"/>
      <c r="BL90" s="399"/>
      <c r="BM90" s="399"/>
      <c r="BN90" s="399"/>
    </row>
    <row r="91" spans="1:73" s="57" customFormat="1" ht="15" customHeight="1" x14ac:dyDescent="0.2">
      <c r="A91" s="299" t="s">
        <v>30</v>
      </c>
      <c r="B91" s="76"/>
      <c r="C91" s="77"/>
      <c r="D91" s="77"/>
      <c r="E91" s="77"/>
      <c r="F91" s="115">
        <v>1</v>
      </c>
      <c r="G91" s="116"/>
      <c r="H91" s="117">
        <v>0.3</v>
      </c>
      <c r="I91" s="118">
        <v>0.3</v>
      </c>
      <c r="J91" s="77"/>
      <c r="K91" s="77"/>
      <c r="L91" s="77"/>
      <c r="M91" s="77"/>
      <c r="N91" s="115">
        <v>1</v>
      </c>
      <c r="O91" s="116"/>
      <c r="P91" s="117">
        <v>0.3</v>
      </c>
      <c r="Q91" s="118">
        <v>0.3</v>
      </c>
      <c r="R91" s="77"/>
      <c r="S91" s="77"/>
      <c r="T91" s="77"/>
      <c r="U91" s="404"/>
      <c r="V91" s="404"/>
      <c r="W91" s="77"/>
      <c r="X91" s="77"/>
      <c r="Y91" s="77"/>
      <c r="Z91" s="119"/>
      <c r="AA91" s="77"/>
      <c r="AB91" s="77"/>
      <c r="AC91" s="77"/>
      <c r="AD91" s="77"/>
      <c r="AE91" s="119"/>
      <c r="AG91" s="2"/>
      <c r="AH91" s="2"/>
      <c r="AJ91" s="405" t="s">
        <v>30</v>
      </c>
      <c r="AK91" s="406"/>
      <c r="AL91" s="407"/>
      <c r="AM91" s="407"/>
      <c r="AN91" s="393"/>
      <c r="AO91" s="115">
        <v>1000</v>
      </c>
      <c r="AP91" s="116"/>
      <c r="AQ91" s="117">
        <v>0.39</v>
      </c>
      <c r="AR91" s="118">
        <v>0.39</v>
      </c>
      <c r="AS91" s="395"/>
      <c r="AT91" s="395"/>
      <c r="AU91" s="395"/>
      <c r="AV91" s="396"/>
      <c r="AW91" s="115">
        <v>1000</v>
      </c>
      <c r="AX91" s="116"/>
      <c r="AY91" s="117">
        <v>0.39</v>
      </c>
      <c r="AZ91" s="118">
        <v>0.39</v>
      </c>
      <c r="BA91" s="395" t="s">
        <v>101</v>
      </c>
      <c r="BB91" s="395" t="s">
        <v>101</v>
      </c>
      <c r="BC91" s="395" t="s">
        <v>101</v>
      </c>
      <c r="BD91" s="408"/>
      <c r="BE91" s="408"/>
      <c r="BF91" s="409"/>
      <c r="BG91" s="403"/>
      <c r="BH91" s="403"/>
      <c r="BI91" s="399"/>
      <c r="BJ91" s="399"/>
      <c r="BK91" s="399"/>
      <c r="BL91" s="399"/>
      <c r="BM91" s="399"/>
      <c r="BN91" s="399"/>
    </row>
    <row r="92" spans="1:73" s="57" customFormat="1" ht="15" customHeight="1" x14ac:dyDescent="0.2">
      <c r="A92" s="169" t="s">
        <v>31</v>
      </c>
      <c r="B92" s="410">
        <v>5.45</v>
      </c>
      <c r="C92" s="411">
        <v>30.25</v>
      </c>
      <c r="D92" s="411">
        <v>6.44</v>
      </c>
      <c r="E92" s="412">
        <v>54.67</v>
      </c>
      <c r="F92" s="413"/>
      <c r="G92" s="414"/>
      <c r="H92" s="307">
        <v>0.3</v>
      </c>
      <c r="I92" s="305">
        <v>0.3</v>
      </c>
      <c r="J92" s="411" t="s">
        <v>26</v>
      </c>
      <c r="K92" s="411" t="s">
        <v>26</v>
      </c>
      <c r="L92" s="411">
        <v>0.44999999999999996</v>
      </c>
      <c r="M92" s="412">
        <v>47.32</v>
      </c>
      <c r="N92" s="413"/>
      <c r="O92" s="414"/>
      <c r="P92" s="307">
        <v>0.3</v>
      </c>
      <c r="Q92" s="305">
        <v>0.3</v>
      </c>
      <c r="R92" s="411" t="s">
        <v>26</v>
      </c>
      <c r="S92" s="411" t="s">
        <v>26</v>
      </c>
      <c r="T92" s="412">
        <v>0.35</v>
      </c>
      <c r="U92" s="412">
        <v>10.88</v>
      </c>
      <c r="V92" s="415">
        <v>10.88</v>
      </c>
      <c r="W92" s="416">
        <v>0.72199999999999998</v>
      </c>
      <c r="X92" s="137"/>
      <c r="Y92" s="417"/>
      <c r="Z92" s="418">
        <v>3</v>
      </c>
      <c r="AA92" s="418">
        <v>3</v>
      </c>
      <c r="AB92" s="418">
        <v>3</v>
      </c>
      <c r="AC92" s="418">
        <v>3</v>
      </c>
      <c r="AD92" s="418">
        <v>3</v>
      </c>
      <c r="AE92" s="419">
        <v>3</v>
      </c>
      <c r="AG92" s="2"/>
      <c r="AH92" s="2"/>
      <c r="AJ92" s="400" t="s">
        <v>31</v>
      </c>
      <c r="AK92" s="420">
        <v>5.45</v>
      </c>
      <c r="AL92" s="309">
        <v>30.25</v>
      </c>
      <c r="AM92" s="309">
        <v>6.49</v>
      </c>
      <c r="AN92" s="421">
        <v>54.97</v>
      </c>
      <c r="AO92" s="413"/>
      <c r="AP92" s="414"/>
      <c r="AQ92" s="173">
        <v>0.39</v>
      </c>
      <c r="AR92" s="117">
        <v>0.39</v>
      </c>
      <c r="AS92" s="422" t="s">
        <v>26</v>
      </c>
      <c r="AT92" s="423" t="s">
        <v>26</v>
      </c>
      <c r="AU92" s="423">
        <v>0.49999999999999994</v>
      </c>
      <c r="AV92" s="424">
        <v>47.62</v>
      </c>
      <c r="AW92" s="306"/>
      <c r="AX92" s="425"/>
      <c r="AY92" s="173">
        <v>0.39</v>
      </c>
      <c r="AZ92" s="117">
        <v>0.39</v>
      </c>
      <c r="BA92" s="422" t="s">
        <v>26</v>
      </c>
      <c r="BB92" s="423" t="s">
        <v>26</v>
      </c>
      <c r="BC92" s="424">
        <v>0.39999999999999997</v>
      </c>
      <c r="BD92" s="426">
        <v>10.88</v>
      </c>
      <c r="BE92" s="427">
        <v>10.88</v>
      </c>
      <c r="BF92" s="428">
        <v>0.72199999999999998</v>
      </c>
      <c r="BG92" s="403"/>
      <c r="BH92" s="403"/>
      <c r="BI92" s="429">
        <v>3</v>
      </c>
      <c r="BJ92" s="426">
        <v>3</v>
      </c>
      <c r="BK92" s="426">
        <v>3</v>
      </c>
      <c r="BL92" s="426">
        <v>3</v>
      </c>
      <c r="BM92" s="426">
        <v>3</v>
      </c>
      <c r="BN92" s="430">
        <v>3</v>
      </c>
    </row>
    <row r="93" spans="1:73" s="57" customFormat="1" ht="15" customHeight="1" x14ac:dyDescent="0.2">
      <c r="A93" s="169" t="s">
        <v>32</v>
      </c>
      <c r="B93" s="150">
        <v>5.69</v>
      </c>
      <c r="C93" s="117">
        <v>31.78</v>
      </c>
      <c r="D93" s="117">
        <v>5.7600000000000007</v>
      </c>
      <c r="E93" s="135">
        <v>57.11</v>
      </c>
      <c r="F93" s="151"/>
      <c r="G93" s="152"/>
      <c r="H93" s="182">
        <v>0.3</v>
      </c>
      <c r="I93" s="117">
        <v>0.3</v>
      </c>
      <c r="J93" s="117" t="s">
        <v>26</v>
      </c>
      <c r="K93" s="117" t="s">
        <v>26</v>
      </c>
      <c r="L93" s="117">
        <v>0.44999999999999996</v>
      </c>
      <c r="M93" s="135">
        <v>47.190000000000005</v>
      </c>
      <c r="N93" s="151"/>
      <c r="O93" s="152"/>
      <c r="P93" s="182">
        <v>0.3</v>
      </c>
      <c r="Q93" s="117">
        <v>0.3</v>
      </c>
      <c r="R93" s="117" t="s">
        <v>26</v>
      </c>
      <c r="S93" s="117" t="s">
        <v>26</v>
      </c>
      <c r="T93" s="117">
        <v>0.35</v>
      </c>
      <c r="U93" s="117">
        <v>11.05</v>
      </c>
      <c r="V93" s="118">
        <v>11.04</v>
      </c>
      <c r="W93" s="153"/>
      <c r="X93" s="153"/>
      <c r="Y93" s="417"/>
      <c r="Z93" s="117">
        <v>3</v>
      </c>
      <c r="AA93" s="117">
        <v>3</v>
      </c>
      <c r="AB93" s="117">
        <v>3</v>
      </c>
      <c r="AC93" s="117">
        <v>3</v>
      </c>
      <c r="AD93" s="117">
        <v>3</v>
      </c>
      <c r="AE93" s="118">
        <v>3</v>
      </c>
      <c r="AG93" s="2"/>
      <c r="AH93" s="2"/>
      <c r="AJ93" s="400" t="s">
        <v>32</v>
      </c>
      <c r="AK93" s="154">
        <v>5.69</v>
      </c>
      <c r="AL93" s="156">
        <v>31.78</v>
      </c>
      <c r="AM93" s="156">
        <v>5.8100000000000005</v>
      </c>
      <c r="AN93" s="431">
        <v>57.41</v>
      </c>
      <c r="AO93" s="151"/>
      <c r="AP93" s="152"/>
      <c r="AQ93" s="173">
        <v>0.39</v>
      </c>
      <c r="AR93" s="117">
        <v>0.39</v>
      </c>
      <c r="AS93" s="432" t="s">
        <v>26</v>
      </c>
      <c r="AT93" s="433" t="s">
        <v>26</v>
      </c>
      <c r="AU93" s="433">
        <v>0.49999999999999994</v>
      </c>
      <c r="AV93" s="434">
        <v>47.49</v>
      </c>
      <c r="AW93" s="151"/>
      <c r="AX93" s="152"/>
      <c r="AY93" s="173">
        <v>0.39</v>
      </c>
      <c r="AZ93" s="117">
        <v>0.39</v>
      </c>
      <c r="BA93" s="432" t="s">
        <v>26</v>
      </c>
      <c r="BB93" s="433" t="s">
        <v>26</v>
      </c>
      <c r="BC93" s="434">
        <v>0.39999999999999997</v>
      </c>
      <c r="BD93" s="435">
        <v>11.05</v>
      </c>
      <c r="BE93" s="436">
        <v>11.04</v>
      </c>
      <c r="BF93" s="403"/>
      <c r="BG93" s="403"/>
      <c r="BH93" s="403"/>
      <c r="BI93" s="437">
        <v>3</v>
      </c>
      <c r="BJ93" s="435">
        <v>3</v>
      </c>
      <c r="BK93" s="435">
        <v>3</v>
      </c>
      <c r="BL93" s="435">
        <v>3</v>
      </c>
      <c r="BM93" s="435">
        <v>3</v>
      </c>
      <c r="BN93" s="436">
        <v>3</v>
      </c>
    </row>
    <row r="94" spans="1:73" s="57" customFormat="1" ht="15" customHeight="1" x14ac:dyDescent="0.2">
      <c r="A94" s="169" t="s">
        <v>33</v>
      </c>
      <c r="B94" s="150">
        <v>5.85</v>
      </c>
      <c r="C94" s="117">
        <v>32.449999999999996</v>
      </c>
      <c r="D94" s="117">
        <v>5.44</v>
      </c>
      <c r="E94" s="135">
        <v>59.080000000000005</v>
      </c>
      <c r="F94" s="151"/>
      <c r="G94" s="152"/>
      <c r="H94" s="182">
        <v>0.3</v>
      </c>
      <c r="I94" s="117">
        <v>0.3</v>
      </c>
      <c r="J94" s="117" t="s">
        <v>26</v>
      </c>
      <c r="K94" s="117" t="s">
        <v>26</v>
      </c>
      <c r="L94" s="117">
        <v>0.44999999999999996</v>
      </c>
      <c r="M94" s="135">
        <v>47.17</v>
      </c>
      <c r="N94" s="151"/>
      <c r="O94" s="152"/>
      <c r="P94" s="182">
        <v>0.3</v>
      </c>
      <c r="Q94" s="117">
        <v>0.3</v>
      </c>
      <c r="R94" s="117" t="s">
        <v>26</v>
      </c>
      <c r="S94" s="117" t="s">
        <v>26</v>
      </c>
      <c r="T94" s="117">
        <v>0.33999999999999997</v>
      </c>
      <c r="U94" s="117">
        <v>11.120000000000001</v>
      </c>
      <c r="V94" s="118">
        <v>11.1</v>
      </c>
      <c r="W94" s="153"/>
      <c r="X94" s="153"/>
      <c r="Y94" s="417"/>
      <c r="Z94" s="117">
        <v>3</v>
      </c>
      <c r="AA94" s="117">
        <v>3</v>
      </c>
      <c r="AB94" s="117">
        <v>3</v>
      </c>
      <c r="AC94" s="117">
        <v>3</v>
      </c>
      <c r="AD94" s="117">
        <v>3</v>
      </c>
      <c r="AE94" s="118">
        <v>3</v>
      </c>
      <c r="AG94" s="2"/>
      <c r="AH94" s="2"/>
      <c r="AJ94" s="400" t="s">
        <v>33</v>
      </c>
      <c r="AK94" s="154">
        <v>5.85</v>
      </c>
      <c r="AL94" s="156">
        <v>32.449999999999996</v>
      </c>
      <c r="AM94" s="156">
        <v>5.49</v>
      </c>
      <c r="AN94" s="431">
        <v>59.38</v>
      </c>
      <c r="AO94" s="151"/>
      <c r="AP94" s="152"/>
      <c r="AQ94" s="173">
        <v>0.39</v>
      </c>
      <c r="AR94" s="117">
        <v>0.39</v>
      </c>
      <c r="AS94" s="432" t="s">
        <v>26</v>
      </c>
      <c r="AT94" s="433" t="s">
        <v>26</v>
      </c>
      <c r="AU94" s="433">
        <v>0.49999999999999994</v>
      </c>
      <c r="AV94" s="434">
        <v>47.47</v>
      </c>
      <c r="AW94" s="151"/>
      <c r="AX94" s="152"/>
      <c r="AY94" s="173">
        <v>0.39</v>
      </c>
      <c r="AZ94" s="117">
        <v>0.39</v>
      </c>
      <c r="BA94" s="432" t="s">
        <v>26</v>
      </c>
      <c r="BB94" s="433" t="s">
        <v>26</v>
      </c>
      <c r="BC94" s="434">
        <v>0.38999999999999996</v>
      </c>
      <c r="BD94" s="435">
        <v>11.120000000000001</v>
      </c>
      <c r="BE94" s="436">
        <v>11.1</v>
      </c>
      <c r="BF94" s="403"/>
      <c r="BG94" s="403"/>
      <c r="BH94" s="403"/>
      <c r="BI94" s="437">
        <v>3</v>
      </c>
      <c r="BJ94" s="435">
        <v>3</v>
      </c>
      <c r="BK94" s="435">
        <v>3</v>
      </c>
      <c r="BL94" s="435">
        <v>3</v>
      </c>
      <c r="BM94" s="435">
        <v>3</v>
      </c>
      <c r="BN94" s="436">
        <v>3</v>
      </c>
    </row>
    <row r="95" spans="1:73" s="57" customFormat="1" ht="15" customHeight="1" x14ac:dyDescent="0.2">
      <c r="A95" s="169" t="s">
        <v>34</v>
      </c>
      <c r="B95" s="150">
        <v>6.19</v>
      </c>
      <c r="C95" s="117">
        <v>33.32</v>
      </c>
      <c r="D95" s="117">
        <v>5.1300000000000008</v>
      </c>
      <c r="E95" s="135">
        <v>61.56</v>
      </c>
      <c r="F95" s="151"/>
      <c r="G95" s="152"/>
      <c r="H95" s="182">
        <v>0.3</v>
      </c>
      <c r="I95" s="117">
        <v>0.3</v>
      </c>
      <c r="J95" s="117" t="s">
        <v>26</v>
      </c>
      <c r="K95" s="117" t="s">
        <v>26</v>
      </c>
      <c r="L95" s="117">
        <v>0.43999999999999995</v>
      </c>
      <c r="M95" s="135">
        <v>47.410000000000004</v>
      </c>
      <c r="N95" s="151"/>
      <c r="O95" s="152"/>
      <c r="P95" s="182">
        <v>0.3</v>
      </c>
      <c r="Q95" s="117">
        <v>0.3</v>
      </c>
      <c r="R95" s="117" t="s">
        <v>26</v>
      </c>
      <c r="S95" s="117" t="s">
        <v>26</v>
      </c>
      <c r="T95" s="117">
        <v>0.35</v>
      </c>
      <c r="U95" s="117">
        <v>11.17</v>
      </c>
      <c r="V95" s="118">
        <v>11.15</v>
      </c>
      <c r="W95" s="153"/>
      <c r="X95" s="153"/>
      <c r="Y95" s="417"/>
      <c r="Z95" s="117">
        <v>3</v>
      </c>
      <c r="AA95" s="117">
        <v>3</v>
      </c>
      <c r="AB95" s="117">
        <v>3</v>
      </c>
      <c r="AC95" s="117">
        <v>3</v>
      </c>
      <c r="AD95" s="117">
        <v>3</v>
      </c>
      <c r="AE95" s="118">
        <v>3</v>
      </c>
      <c r="AG95" s="2"/>
      <c r="AH95" s="2"/>
      <c r="AJ95" s="400" t="s">
        <v>34</v>
      </c>
      <c r="AK95" s="154">
        <v>6.19</v>
      </c>
      <c r="AL95" s="156">
        <v>33.32</v>
      </c>
      <c r="AM95" s="156">
        <v>5.1800000000000006</v>
      </c>
      <c r="AN95" s="431">
        <v>61.86</v>
      </c>
      <c r="AO95" s="151"/>
      <c r="AP95" s="152"/>
      <c r="AQ95" s="173">
        <v>0.39</v>
      </c>
      <c r="AR95" s="117">
        <v>0.39</v>
      </c>
      <c r="AS95" s="432" t="s">
        <v>26</v>
      </c>
      <c r="AT95" s="433" t="s">
        <v>26</v>
      </c>
      <c r="AU95" s="433">
        <v>0.48999999999999994</v>
      </c>
      <c r="AV95" s="434">
        <v>47.71</v>
      </c>
      <c r="AW95" s="151"/>
      <c r="AX95" s="152"/>
      <c r="AY95" s="173">
        <v>0.39</v>
      </c>
      <c r="AZ95" s="117">
        <v>0.39</v>
      </c>
      <c r="BA95" s="432" t="s">
        <v>26</v>
      </c>
      <c r="BB95" s="433" t="s">
        <v>26</v>
      </c>
      <c r="BC95" s="434">
        <v>0.39999999999999997</v>
      </c>
      <c r="BD95" s="435">
        <v>11.17</v>
      </c>
      <c r="BE95" s="436">
        <v>11.15</v>
      </c>
      <c r="BF95" s="403"/>
      <c r="BG95" s="403"/>
      <c r="BH95" s="403"/>
      <c r="BI95" s="437">
        <v>3</v>
      </c>
      <c r="BJ95" s="435">
        <v>3</v>
      </c>
      <c r="BK95" s="435">
        <v>3</v>
      </c>
      <c r="BL95" s="435">
        <v>3</v>
      </c>
      <c r="BM95" s="435">
        <v>3</v>
      </c>
      <c r="BN95" s="436">
        <v>3</v>
      </c>
    </row>
    <row r="96" spans="1:73" s="57" customFormat="1" ht="15" customHeight="1" x14ac:dyDescent="0.2">
      <c r="A96" s="299" t="s">
        <v>35</v>
      </c>
      <c r="B96" s="161">
        <v>6.76</v>
      </c>
      <c r="C96" s="162">
        <v>34.119999999999997</v>
      </c>
      <c r="D96" s="162">
        <v>4.92</v>
      </c>
      <c r="E96" s="163">
        <v>64.52</v>
      </c>
      <c r="F96" s="151"/>
      <c r="G96" s="152"/>
      <c r="H96" s="320">
        <v>0.3</v>
      </c>
      <c r="I96" s="162">
        <v>0.3</v>
      </c>
      <c r="J96" s="162" t="s">
        <v>26</v>
      </c>
      <c r="K96" s="162" t="s">
        <v>26</v>
      </c>
      <c r="L96" s="162">
        <v>0.44999999999999996</v>
      </c>
      <c r="M96" s="163">
        <v>48.2</v>
      </c>
      <c r="N96" s="151"/>
      <c r="O96" s="152"/>
      <c r="P96" s="320">
        <v>0.3</v>
      </c>
      <c r="Q96" s="162">
        <v>0.3</v>
      </c>
      <c r="R96" s="162" t="s">
        <v>26</v>
      </c>
      <c r="S96" s="162" t="s">
        <v>26</v>
      </c>
      <c r="T96" s="162">
        <v>0.35</v>
      </c>
      <c r="U96" s="162">
        <v>11.2</v>
      </c>
      <c r="V96" s="165">
        <v>11.19</v>
      </c>
      <c r="W96" s="153"/>
      <c r="X96" s="153"/>
      <c r="Y96" s="417"/>
      <c r="Z96" s="162">
        <v>3</v>
      </c>
      <c r="AA96" s="162">
        <v>3</v>
      </c>
      <c r="AB96" s="162">
        <v>3</v>
      </c>
      <c r="AC96" s="162">
        <v>3</v>
      </c>
      <c r="AD96" s="162">
        <v>3</v>
      </c>
      <c r="AE96" s="165">
        <v>3</v>
      </c>
      <c r="AG96" s="2"/>
      <c r="AH96" s="2"/>
      <c r="AJ96" s="405" t="s">
        <v>35</v>
      </c>
      <c r="AK96" s="154">
        <v>6.76</v>
      </c>
      <c r="AL96" s="156">
        <v>34.119999999999997</v>
      </c>
      <c r="AM96" s="156">
        <v>4.97</v>
      </c>
      <c r="AN96" s="431">
        <v>64.819999999999993</v>
      </c>
      <c r="AO96" s="151"/>
      <c r="AP96" s="152"/>
      <c r="AQ96" s="324">
        <v>0.39</v>
      </c>
      <c r="AR96" s="162">
        <v>0.39</v>
      </c>
      <c r="AS96" s="438" t="s">
        <v>26</v>
      </c>
      <c r="AT96" s="439" t="s">
        <v>26</v>
      </c>
      <c r="AU96" s="439">
        <v>0.49999999999999994</v>
      </c>
      <c r="AV96" s="440">
        <v>48.5</v>
      </c>
      <c r="AW96" s="151"/>
      <c r="AX96" s="152"/>
      <c r="AY96" s="324">
        <v>0.39</v>
      </c>
      <c r="AZ96" s="162">
        <v>0.39</v>
      </c>
      <c r="BA96" s="438" t="s">
        <v>26</v>
      </c>
      <c r="BB96" s="439" t="s">
        <v>26</v>
      </c>
      <c r="BC96" s="440">
        <v>0.39999999999999997</v>
      </c>
      <c r="BD96" s="441">
        <v>11.2</v>
      </c>
      <c r="BE96" s="442">
        <v>11.19</v>
      </c>
      <c r="BF96" s="403"/>
      <c r="BG96" s="403"/>
      <c r="BH96" s="403"/>
      <c r="BI96" s="437">
        <v>3</v>
      </c>
      <c r="BJ96" s="435">
        <v>3</v>
      </c>
      <c r="BK96" s="435">
        <v>3</v>
      </c>
      <c r="BL96" s="435">
        <v>3</v>
      </c>
      <c r="BM96" s="435">
        <v>3</v>
      </c>
      <c r="BN96" s="436">
        <v>3</v>
      </c>
    </row>
    <row r="97" spans="1:66" s="57" customFormat="1" ht="15" customHeight="1" x14ac:dyDescent="0.2">
      <c r="A97" s="169" t="s">
        <v>36</v>
      </c>
      <c r="B97" s="150">
        <v>7.49</v>
      </c>
      <c r="C97" s="117">
        <v>34.83</v>
      </c>
      <c r="D97" s="117">
        <v>4.8000000000000007</v>
      </c>
      <c r="E97" s="135">
        <v>68.08</v>
      </c>
      <c r="F97" s="151"/>
      <c r="G97" s="152"/>
      <c r="H97" s="182">
        <v>0.3</v>
      </c>
      <c r="I97" s="117">
        <v>0.3</v>
      </c>
      <c r="J97" s="117" t="s">
        <v>26</v>
      </c>
      <c r="K97" s="117" t="s">
        <v>26</v>
      </c>
      <c r="L97" s="117">
        <v>0.43999999999999995</v>
      </c>
      <c r="M97" s="135">
        <v>49.56</v>
      </c>
      <c r="N97" s="151"/>
      <c r="O97" s="152"/>
      <c r="P97" s="182">
        <v>0.3</v>
      </c>
      <c r="Q97" s="117">
        <v>0.3</v>
      </c>
      <c r="R97" s="117" t="s">
        <v>26</v>
      </c>
      <c r="S97" s="117" t="s">
        <v>26</v>
      </c>
      <c r="T97" s="117">
        <v>0.35</v>
      </c>
      <c r="U97" s="117">
        <v>11.24</v>
      </c>
      <c r="V97" s="118">
        <v>11.23</v>
      </c>
      <c r="W97" s="153"/>
      <c r="X97" s="153"/>
      <c r="Y97" s="170" t="s">
        <v>26</v>
      </c>
      <c r="Z97" s="117">
        <v>3</v>
      </c>
      <c r="AA97" s="117">
        <v>3</v>
      </c>
      <c r="AB97" s="117">
        <v>3</v>
      </c>
      <c r="AC97" s="117">
        <v>3</v>
      </c>
      <c r="AD97" s="117">
        <v>3</v>
      </c>
      <c r="AE97" s="118">
        <v>3</v>
      </c>
      <c r="AG97" s="2"/>
      <c r="AH97" s="2"/>
      <c r="AJ97" s="400" t="s">
        <v>36</v>
      </c>
      <c r="AK97" s="154">
        <v>7.49</v>
      </c>
      <c r="AL97" s="156">
        <v>34.83</v>
      </c>
      <c r="AM97" s="156">
        <v>4.8500000000000005</v>
      </c>
      <c r="AN97" s="431">
        <v>68.38</v>
      </c>
      <c r="AO97" s="151"/>
      <c r="AP97" s="152"/>
      <c r="AQ97" s="173">
        <v>0.39</v>
      </c>
      <c r="AR97" s="117">
        <v>0.39</v>
      </c>
      <c r="AS97" s="432" t="s">
        <v>26</v>
      </c>
      <c r="AT97" s="433" t="s">
        <v>26</v>
      </c>
      <c r="AU97" s="433">
        <v>0.48999999999999994</v>
      </c>
      <c r="AV97" s="431">
        <v>49.86</v>
      </c>
      <c r="AW97" s="151"/>
      <c r="AX97" s="152"/>
      <c r="AY97" s="173">
        <v>0.39</v>
      </c>
      <c r="AZ97" s="117">
        <v>0.39</v>
      </c>
      <c r="BA97" s="432" t="s">
        <v>26</v>
      </c>
      <c r="BB97" s="433" t="s">
        <v>26</v>
      </c>
      <c r="BC97" s="434">
        <v>0.39999999999999997</v>
      </c>
      <c r="BD97" s="435">
        <v>11.24</v>
      </c>
      <c r="BE97" s="436">
        <v>11.23</v>
      </c>
      <c r="BF97" s="403"/>
      <c r="BG97" s="403"/>
      <c r="BH97" s="429" t="s">
        <v>26</v>
      </c>
      <c r="BI97" s="443">
        <v>3</v>
      </c>
      <c r="BJ97" s="435">
        <v>3</v>
      </c>
      <c r="BK97" s="435">
        <v>3</v>
      </c>
      <c r="BL97" s="435">
        <v>3</v>
      </c>
      <c r="BM97" s="435">
        <v>3</v>
      </c>
      <c r="BN97" s="436">
        <v>3</v>
      </c>
    </row>
    <row r="98" spans="1:66" s="57" customFormat="1" ht="15" customHeight="1" x14ac:dyDescent="0.2">
      <c r="A98" s="327" t="s">
        <v>37</v>
      </c>
      <c r="B98" s="150">
        <v>8.74</v>
      </c>
      <c r="C98" s="117">
        <v>35.94</v>
      </c>
      <c r="D98" s="117">
        <v>4.71</v>
      </c>
      <c r="E98" s="135">
        <v>77.61</v>
      </c>
      <c r="F98" s="151"/>
      <c r="G98" s="152"/>
      <c r="H98" s="182">
        <v>0.3</v>
      </c>
      <c r="I98" s="117">
        <v>0.3</v>
      </c>
      <c r="J98" s="117" t="s">
        <v>26</v>
      </c>
      <c r="K98" s="117" t="s">
        <v>26</v>
      </c>
      <c r="L98" s="117">
        <v>0.44999999999999996</v>
      </c>
      <c r="M98" s="135">
        <v>53.150000000000006</v>
      </c>
      <c r="N98" s="151"/>
      <c r="O98" s="152"/>
      <c r="P98" s="182">
        <v>0.3</v>
      </c>
      <c r="Q98" s="117">
        <v>0.3</v>
      </c>
      <c r="R98" s="117" t="s">
        <v>26</v>
      </c>
      <c r="S98" s="117" t="s">
        <v>26</v>
      </c>
      <c r="T98" s="117">
        <v>0.35</v>
      </c>
      <c r="U98" s="117">
        <v>11.32</v>
      </c>
      <c r="V98" s="118">
        <v>11.3</v>
      </c>
      <c r="W98" s="153"/>
      <c r="X98" s="153"/>
      <c r="Y98" s="444" t="s">
        <v>26</v>
      </c>
      <c r="Z98" s="117">
        <v>3</v>
      </c>
      <c r="AA98" s="117">
        <v>3</v>
      </c>
      <c r="AB98" s="117">
        <v>3</v>
      </c>
      <c r="AC98" s="117">
        <v>3</v>
      </c>
      <c r="AD98" s="117">
        <v>3</v>
      </c>
      <c r="AE98" s="118">
        <v>3</v>
      </c>
      <c r="AG98" s="2"/>
      <c r="AH98" s="2"/>
      <c r="AJ98" s="445" t="s">
        <v>37</v>
      </c>
      <c r="AK98" s="446">
        <v>8.74</v>
      </c>
      <c r="AL98" s="156">
        <v>35.94</v>
      </c>
      <c r="AM98" s="156">
        <v>4.76</v>
      </c>
      <c r="AN98" s="431">
        <v>77.91</v>
      </c>
      <c r="AO98" s="151"/>
      <c r="AP98" s="152"/>
      <c r="AQ98" s="444">
        <v>0.39</v>
      </c>
      <c r="AR98" s="117">
        <v>0.39</v>
      </c>
      <c r="AS98" s="432" t="s">
        <v>26</v>
      </c>
      <c r="AT98" s="433" t="s">
        <v>26</v>
      </c>
      <c r="AU98" s="433">
        <v>0.49999999999999994</v>
      </c>
      <c r="AV98" s="434">
        <v>53.45</v>
      </c>
      <c r="AW98" s="151"/>
      <c r="AX98" s="152"/>
      <c r="AY98" s="444">
        <v>0.39</v>
      </c>
      <c r="AZ98" s="117">
        <v>0.39</v>
      </c>
      <c r="BA98" s="432" t="s">
        <v>26</v>
      </c>
      <c r="BB98" s="433" t="s">
        <v>26</v>
      </c>
      <c r="BC98" s="434">
        <v>0.39999999999999997</v>
      </c>
      <c r="BD98" s="435">
        <v>11.32</v>
      </c>
      <c r="BE98" s="436">
        <v>11.3</v>
      </c>
      <c r="BF98" s="403"/>
      <c r="BG98" s="403"/>
      <c r="BH98" s="447" t="s">
        <v>26</v>
      </c>
      <c r="BI98" s="443">
        <v>3</v>
      </c>
      <c r="BJ98" s="435">
        <v>3</v>
      </c>
      <c r="BK98" s="435">
        <v>3</v>
      </c>
      <c r="BL98" s="435">
        <v>3</v>
      </c>
      <c r="BM98" s="435">
        <v>3</v>
      </c>
      <c r="BN98" s="436">
        <v>3</v>
      </c>
    </row>
    <row r="99" spans="1:66" s="57" customFormat="1" ht="15" customHeight="1" x14ac:dyDescent="0.2">
      <c r="A99" s="169" t="s">
        <v>38</v>
      </c>
      <c r="B99" s="150">
        <v>10.48</v>
      </c>
      <c r="C99" s="117">
        <v>37.270000000000003</v>
      </c>
      <c r="D99" s="117">
        <v>4.5900000000000007</v>
      </c>
      <c r="E99" s="135">
        <v>90.02</v>
      </c>
      <c r="F99" s="151"/>
      <c r="G99" s="152"/>
      <c r="H99" s="182">
        <v>0.3</v>
      </c>
      <c r="I99" s="117">
        <v>0.3</v>
      </c>
      <c r="J99" s="117" t="s">
        <v>26</v>
      </c>
      <c r="K99" s="117" t="s">
        <v>26</v>
      </c>
      <c r="L99" s="117">
        <v>0.44999999999999996</v>
      </c>
      <c r="M99" s="135">
        <v>57.230000000000004</v>
      </c>
      <c r="N99" s="151"/>
      <c r="O99" s="152"/>
      <c r="P99" s="182">
        <v>0.3</v>
      </c>
      <c r="Q99" s="117">
        <v>0.3</v>
      </c>
      <c r="R99" s="117" t="s">
        <v>26</v>
      </c>
      <c r="S99" s="117" t="s">
        <v>26</v>
      </c>
      <c r="T99" s="117">
        <v>0.35</v>
      </c>
      <c r="U99" s="117">
        <v>11.39</v>
      </c>
      <c r="V99" s="118">
        <v>11.39</v>
      </c>
      <c r="W99" s="153"/>
      <c r="X99" s="153"/>
      <c r="Y99" s="444" t="s">
        <v>26</v>
      </c>
      <c r="Z99" s="117">
        <v>3</v>
      </c>
      <c r="AA99" s="117">
        <v>3</v>
      </c>
      <c r="AB99" s="117">
        <v>3</v>
      </c>
      <c r="AC99" s="117">
        <v>3</v>
      </c>
      <c r="AD99" s="117">
        <v>3</v>
      </c>
      <c r="AE99" s="118">
        <v>3</v>
      </c>
      <c r="AG99" s="2"/>
      <c r="AH99" s="2"/>
      <c r="AJ99" s="400" t="s">
        <v>38</v>
      </c>
      <c r="AK99" s="154">
        <v>10.48</v>
      </c>
      <c r="AL99" s="156">
        <v>37.270000000000003</v>
      </c>
      <c r="AM99" s="156">
        <v>4.6400000000000006</v>
      </c>
      <c r="AN99" s="431">
        <v>90.32</v>
      </c>
      <c r="AO99" s="151"/>
      <c r="AP99" s="152"/>
      <c r="AQ99" s="173">
        <v>0.39</v>
      </c>
      <c r="AR99" s="117">
        <v>0.39</v>
      </c>
      <c r="AS99" s="432" t="s">
        <v>26</v>
      </c>
      <c r="AT99" s="433" t="s">
        <v>26</v>
      </c>
      <c r="AU99" s="433">
        <v>0.49999999999999994</v>
      </c>
      <c r="AV99" s="434">
        <v>57.53</v>
      </c>
      <c r="AW99" s="151"/>
      <c r="AX99" s="152"/>
      <c r="AY99" s="173">
        <v>0.39</v>
      </c>
      <c r="AZ99" s="117">
        <v>0.39</v>
      </c>
      <c r="BA99" s="432" t="s">
        <v>26</v>
      </c>
      <c r="BB99" s="433" t="s">
        <v>26</v>
      </c>
      <c r="BC99" s="434">
        <v>0.39999999999999997</v>
      </c>
      <c r="BD99" s="435">
        <v>11.39</v>
      </c>
      <c r="BE99" s="436">
        <v>11.39</v>
      </c>
      <c r="BF99" s="403"/>
      <c r="BG99" s="403"/>
      <c r="BH99" s="437" t="s">
        <v>26</v>
      </c>
      <c r="BI99" s="443">
        <v>3</v>
      </c>
      <c r="BJ99" s="435">
        <v>3</v>
      </c>
      <c r="BK99" s="435">
        <v>3</v>
      </c>
      <c r="BL99" s="435">
        <v>3</v>
      </c>
      <c r="BM99" s="435">
        <v>3</v>
      </c>
      <c r="BN99" s="436">
        <v>3</v>
      </c>
    </row>
    <row r="100" spans="1:66" s="57" customFormat="1" ht="15" customHeight="1" x14ac:dyDescent="0.2">
      <c r="A100" s="169" t="s">
        <v>39</v>
      </c>
      <c r="B100" s="150">
        <v>13.12</v>
      </c>
      <c r="C100" s="117">
        <v>39.019999999999996</v>
      </c>
      <c r="D100" s="117">
        <v>4.4300000000000006</v>
      </c>
      <c r="E100" s="135">
        <v>101.93</v>
      </c>
      <c r="F100" s="151"/>
      <c r="G100" s="152"/>
      <c r="H100" s="182">
        <v>0.3</v>
      </c>
      <c r="I100" s="117">
        <v>0.3</v>
      </c>
      <c r="J100" s="117" t="s">
        <v>26</v>
      </c>
      <c r="K100" s="117" t="s">
        <v>26</v>
      </c>
      <c r="L100" s="117">
        <v>0.44999999999999996</v>
      </c>
      <c r="M100" s="135">
        <v>61.67</v>
      </c>
      <c r="N100" s="151"/>
      <c r="O100" s="152"/>
      <c r="P100" s="182">
        <v>0.3</v>
      </c>
      <c r="Q100" s="117">
        <v>0.3</v>
      </c>
      <c r="R100" s="117" t="s">
        <v>26</v>
      </c>
      <c r="S100" s="117" t="s">
        <v>26</v>
      </c>
      <c r="T100" s="117">
        <v>0.35</v>
      </c>
      <c r="U100" s="117">
        <v>11.47</v>
      </c>
      <c r="V100" s="118">
        <v>11.49</v>
      </c>
      <c r="W100" s="153"/>
      <c r="X100" s="153"/>
      <c r="Y100" s="444" t="s">
        <v>26</v>
      </c>
      <c r="Z100" s="117">
        <v>3</v>
      </c>
      <c r="AA100" s="117">
        <v>3</v>
      </c>
      <c r="AB100" s="117">
        <v>3</v>
      </c>
      <c r="AC100" s="117">
        <v>3</v>
      </c>
      <c r="AD100" s="117">
        <v>3</v>
      </c>
      <c r="AE100" s="118">
        <v>3</v>
      </c>
      <c r="AG100" s="2"/>
      <c r="AH100" s="2"/>
      <c r="AJ100" s="400" t="s">
        <v>39</v>
      </c>
      <c r="AK100" s="154">
        <v>13.12</v>
      </c>
      <c r="AL100" s="156">
        <v>39.019999999999996</v>
      </c>
      <c r="AM100" s="156">
        <v>4.4800000000000004</v>
      </c>
      <c r="AN100" s="431">
        <v>102.23</v>
      </c>
      <c r="AO100" s="151"/>
      <c r="AP100" s="152"/>
      <c r="AQ100" s="173">
        <v>0.39</v>
      </c>
      <c r="AR100" s="117">
        <v>0.39</v>
      </c>
      <c r="AS100" s="432" t="s">
        <v>26</v>
      </c>
      <c r="AT100" s="433" t="s">
        <v>26</v>
      </c>
      <c r="AU100" s="433">
        <v>0.49999999999999994</v>
      </c>
      <c r="AV100" s="434">
        <v>61.97</v>
      </c>
      <c r="AW100" s="151"/>
      <c r="AX100" s="152"/>
      <c r="AY100" s="173">
        <v>0.39</v>
      </c>
      <c r="AZ100" s="117">
        <v>0.39</v>
      </c>
      <c r="BA100" s="432" t="s">
        <v>26</v>
      </c>
      <c r="BB100" s="433" t="s">
        <v>26</v>
      </c>
      <c r="BC100" s="434">
        <v>0.39999999999999997</v>
      </c>
      <c r="BD100" s="435">
        <v>11.47</v>
      </c>
      <c r="BE100" s="436">
        <v>11.49</v>
      </c>
      <c r="BF100" s="403"/>
      <c r="BG100" s="403"/>
      <c r="BH100" s="437" t="s">
        <v>26</v>
      </c>
      <c r="BI100" s="443">
        <v>3</v>
      </c>
      <c r="BJ100" s="435">
        <v>3</v>
      </c>
      <c r="BK100" s="435">
        <v>3</v>
      </c>
      <c r="BL100" s="435">
        <v>3</v>
      </c>
      <c r="BM100" s="435">
        <v>3</v>
      </c>
      <c r="BN100" s="436">
        <v>3</v>
      </c>
    </row>
    <row r="101" spans="1:66" s="57" customFormat="1" ht="15" customHeight="1" x14ac:dyDescent="0.2">
      <c r="A101" s="169" t="s">
        <v>40</v>
      </c>
      <c r="B101" s="150">
        <v>15.22</v>
      </c>
      <c r="C101" s="117">
        <v>41</v>
      </c>
      <c r="D101" s="117">
        <v>4.28</v>
      </c>
      <c r="E101" s="135">
        <v>110.88000000000001</v>
      </c>
      <c r="F101" s="151"/>
      <c r="G101" s="152"/>
      <c r="H101" s="182">
        <v>0.3</v>
      </c>
      <c r="I101" s="117">
        <v>0.3</v>
      </c>
      <c r="J101" s="117" t="s">
        <v>26</v>
      </c>
      <c r="K101" s="117" t="s">
        <v>26</v>
      </c>
      <c r="L101" s="117">
        <v>0.44999999999999996</v>
      </c>
      <c r="M101" s="135">
        <v>65.600000000000009</v>
      </c>
      <c r="N101" s="151"/>
      <c r="O101" s="152"/>
      <c r="P101" s="182">
        <v>0.3</v>
      </c>
      <c r="Q101" s="117">
        <v>0.3</v>
      </c>
      <c r="R101" s="117" t="s">
        <v>26</v>
      </c>
      <c r="S101" s="117" t="s">
        <v>26</v>
      </c>
      <c r="T101" s="117">
        <v>0.35</v>
      </c>
      <c r="U101" s="117">
        <v>11.49</v>
      </c>
      <c r="V101" s="118">
        <v>11.43</v>
      </c>
      <c r="W101" s="153"/>
      <c r="X101" s="153"/>
      <c r="Y101" s="444" t="s">
        <v>26</v>
      </c>
      <c r="Z101" s="117">
        <v>3</v>
      </c>
      <c r="AA101" s="117">
        <v>3</v>
      </c>
      <c r="AB101" s="117">
        <v>3</v>
      </c>
      <c r="AC101" s="117">
        <v>3</v>
      </c>
      <c r="AD101" s="117">
        <v>3</v>
      </c>
      <c r="AE101" s="118">
        <v>3</v>
      </c>
      <c r="AG101" s="2"/>
      <c r="AH101" s="2"/>
      <c r="AJ101" s="400" t="s">
        <v>40</v>
      </c>
      <c r="AK101" s="154">
        <v>15.22</v>
      </c>
      <c r="AL101" s="156">
        <v>41.1</v>
      </c>
      <c r="AM101" s="156">
        <v>4.33</v>
      </c>
      <c r="AN101" s="431">
        <v>111.18</v>
      </c>
      <c r="AO101" s="151"/>
      <c r="AP101" s="152"/>
      <c r="AQ101" s="173">
        <v>0.39</v>
      </c>
      <c r="AR101" s="117">
        <v>0.39</v>
      </c>
      <c r="AS101" s="432" t="s">
        <v>26</v>
      </c>
      <c r="AT101" s="433" t="s">
        <v>26</v>
      </c>
      <c r="AU101" s="433">
        <v>0.49999999999999994</v>
      </c>
      <c r="AV101" s="434">
        <v>65.900000000000006</v>
      </c>
      <c r="AW101" s="151"/>
      <c r="AX101" s="152"/>
      <c r="AY101" s="173">
        <v>0.39</v>
      </c>
      <c r="AZ101" s="117">
        <v>0.39</v>
      </c>
      <c r="BA101" s="432" t="s">
        <v>26</v>
      </c>
      <c r="BB101" s="433" t="s">
        <v>26</v>
      </c>
      <c r="BC101" s="434">
        <v>0.39999999999999997</v>
      </c>
      <c r="BD101" s="435">
        <v>11.49</v>
      </c>
      <c r="BE101" s="436">
        <v>11.43</v>
      </c>
      <c r="BF101" s="403"/>
      <c r="BG101" s="403"/>
      <c r="BH101" s="437" t="s">
        <v>26</v>
      </c>
      <c r="BI101" s="443">
        <v>3</v>
      </c>
      <c r="BJ101" s="435">
        <v>3</v>
      </c>
      <c r="BK101" s="435">
        <v>3</v>
      </c>
      <c r="BL101" s="435">
        <v>3</v>
      </c>
      <c r="BM101" s="435">
        <v>3</v>
      </c>
      <c r="BN101" s="436">
        <v>3</v>
      </c>
    </row>
    <row r="102" spans="1:66" s="57" customFormat="1" ht="15" customHeight="1" x14ac:dyDescent="0.2">
      <c r="A102" s="169" t="s">
        <v>41</v>
      </c>
      <c r="B102" s="150">
        <v>17.310000000000002</v>
      </c>
      <c r="C102" s="117">
        <v>43.16</v>
      </c>
      <c r="D102" s="117">
        <v>4.1400000000000006</v>
      </c>
      <c r="E102" s="135">
        <v>115.96000000000001</v>
      </c>
      <c r="F102" s="151"/>
      <c r="G102" s="152"/>
      <c r="H102" s="182">
        <v>0.3</v>
      </c>
      <c r="I102" s="117">
        <v>0.3</v>
      </c>
      <c r="J102" s="117" t="s">
        <v>26</v>
      </c>
      <c r="K102" s="117" t="s">
        <v>26</v>
      </c>
      <c r="L102" s="117">
        <v>0.44999999999999996</v>
      </c>
      <c r="M102" s="135">
        <v>69.56</v>
      </c>
      <c r="N102" s="151"/>
      <c r="O102" s="152"/>
      <c r="P102" s="182">
        <v>0.3</v>
      </c>
      <c r="Q102" s="117">
        <v>0.3</v>
      </c>
      <c r="R102" s="117" t="s">
        <v>26</v>
      </c>
      <c r="S102" s="117" t="s">
        <v>26</v>
      </c>
      <c r="T102" s="117">
        <v>0.35</v>
      </c>
      <c r="U102" s="117">
        <v>11.52</v>
      </c>
      <c r="V102" s="118">
        <v>11.44</v>
      </c>
      <c r="W102" s="153"/>
      <c r="X102" s="153"/>
      <c r="Y102" s="444" t="s">
        <v>26</v>
      </c>
      <c r="Z102" s="117">
        <v>3</v>
      </c>
      <c r="AA102" s="117">
        <v>3</v>
      </c>
      <c r="AB102" s="117">
        <v>3</v>
      </c>
      <c r="AC102" s="117">
        <v>3</v>
      </c>
      <c r="AD102" s="117">
        <v>3</v>
      </c>
      <c r="AE102" s="118">
        <v>3</v>
      </c>
      <c r="AG102" s="2"/>
      <c r="AH102" s="2"/>
      <c r="AJ102" s="400" t="s">
        <v>41</v>
      </c>
      <c r="AK102" s="154">
        <v>17.310000000000002</v>
      </c>
      <c r="AL102" s="156">
        <v>43.26</v>
      </c>
      <c r="AM102" s="156">
        <v>4.1900000000000004</v>
      </c>
      <c r="AN102" s="431">
        <v>116.26</v>
      </c>
      <c r="AO102" s="151"/>
      <c r="AP102" s="152"/>
      <c r="AQ102" s="173">
        <v>0.39</v>
      </c>
      <c r="AR102" s="117">
        <v>0.39</v>
      </c>
      <c r="AS102" s="432" t="s">
        <v>26</v>
      </c>
      <c r="AT102" s="433" t="s">
        <v>26</v>
      </c>
      <c r="AU102" s="433">
        <v>0.49999999999999994</v>
      </c>
      <c r="AV102" s="434">
        <v>69.86</v>
      </c>
      <c r="AW102" s="151"/>
      <c r="AX102" s="152"/>
      <c r="AY102" s="173">
        <v>0.39</v>
      </c>
      <c r="AZ102" s="117">
        <v>0.39</v>
      </c>
      <c r="BA102" s="432" t="s">
        <v>26</v>
      </c>
      <c r="BB102" s="433" t="s">
        <v>26</v>
      </c>
      <c r="BC102" s="434">
        <v>0.39999999999999997</v>
      </c>
      <c r="BD102" s="435">
        <v>11.52</v>
      </c>
      <c r="BE102" s="436">
        <v>11.44</v>
      </c>
      <c r="BF102" s="403"/>
      <c r="BG102" s="403"/>
      <c r="BH102" s="437" t="s">
        <v>26</v>
      </c>
      <c r="BI102" s="443">
        <v>3</v>
      </c>
      <c r="BJ102" s="435">
        <v>3</v>
      </c>
      <c r="BK102" s="435">
        <v>3</v>
      </c>
      <c r="BL102" s="435">
        <v>3</v>
      </c>
      <c r="BM102" s="435">
        <v>3</v>
      </c>
      <c r="BN102" s="436">
        <v>3</v>
      </c>
    </row>
    <row r="103" spans="1:66" s="57" customFormat="1" ht="15" customHeight="1" x14ac:dyDescent="0.2">
      <c r="A103" s="169" t="s">
        <v>42</v>
      </c>
      <c r="B103" s="150">
        <v>19.03</v>
      </c>
      <c r="C103" s="117">
        <v>45.269999999999996</v>
      </c>
      <c r="D103" s="117">
        <v>4.01</v>
      </c>
      <c r="E103" s="135">
        <v>119.06</v>
      </c>
      <c r="F103" s="151"/>
      <c r="G103" s="152"/>
      <c r="H103" s="182">
        <v>0.3</v>
      </c>
      <c r="I103" s="117">
        <v>0.3</v>
      </c>
      <c r="J103" s="117" t="s">
        <v>26</v>
      </c>
      <c r="K103" s="117" t="s">
        <v>26</v>
      </c>
      <c r="L103" s="117">
        <v>0.44999999999999996</v>
      </c>
      <c r="M103" s="135">
        <v>74.5</v>
      </c>
      <c r="N103" s="151"/>
      <c r="O103" s="152"/>
      <c r="P103" s="182">
        <v>0.3</v>
      </c>
      <c r="Q103" s="117">
        <v>0.3</v>
      </c>
      <c r="R103" s="117" t="s">
        <v>26</v>
      </c>
      <c r="S103" s="117" t="s">
        <v>26</v>
      </c>
      <c r="T103" s="117">
        <v>0.35</v>
      </c>
      <c r="U103" s="117">
        <v>11.54</v>
      </c>
      <c r="V103" s="135">
        <v>11.47</v>
      </c>
      <c r="W103" s="311">
        <v>1.1000000000000001</v>
      </c>
      <c r="X103" s="153"/>
      <c r="Y103" s="444" t="s">
        <v>26</v>
      </c>
      <c r="Z103" s="117">
        <v>3</v>
      </c>
      <c r="AA103" s="117">
        <v>3</v>
      </c>
      <c r="AB103" s="117">
        <v>3</v>
      </c>
      <c r="AC103" s="117">
        <v>3</v>
      </c>
      <c r="AD103" s="117">
        <v>3</v>
      </c>
      <c r="AE103" s="118">
        <v>3</v>
      </c>
      <c r="AG103" s="2"/>
      <c r="AH103" s="2"/>
      <c r="AJ103" s="400" t="s">
        <v>42</v>
      </c>
      <c r="AK103" s="154">
        <v>19.03</v>
      </c>
      <c r="AL103" s="156">
        <v>45.37</v>
      </c>
      <c r="AM103" s="156">
        <v>4.0599999999999996</v>
      </c>
      <c r="AN103" s="431">
        <v>119.36</v>
      </c>
      <c r="AO103" s="151"/>
      <c r="AP103" s="152"/>
      <c r="AQ103" s="173">
        <v>0.39</v>
      </c>
      <c r="AR103" s="117">
        <v>0.39</v>
      </c>
      <c r="AS103" s="432" t="s">
        <v>26</v>
      </c>
      <c r="AT103" s="433" t="s">
        <v>26</v>
      </c>
      <c r="AU103" s="433">
        <v>0.49999999999999994</v>
      </c>
      <c r="AV103" s="434">
        <v>74.8</v>
      </c>
      <c r="AW103" s="151"/>
      <c r="AX103" s="152"/>
      <c r="AY103" s="173">
        <v>0.39</v>
      </c>
      <c r="AZ103" s="117">
        <v>0.39</v>
      </c>
      <c r="BA103" s="432" t="s">
        <v>26</v>
      </c>
      <c r="BB103" s="433" t="s">
        <v>26</v>
      </c>
      <c r="BC103" s="434">
        <v>0.39999999999999997</v>
      </c>
      <c r="BD103" s="435">
        <v>11.54</v>
      </c>
      <c r="BE103" s="448">
        <v>11.47</v>
      </c>
      <c r="BF103" s="428">
        <v>1.1000000000000001</v>
      </c>
      <c r="BG103" s="403"/>
      <c r="BH103" s="437" t="s">
        <v>26</v>
      </c>
      <c r="BI103" s="443">
        <v>3</v>
      </c>
      <c r="BJ103" s="435">
        <v>3</v>
      </c>
      <c r="BK103" s="435">
        <v>3</v>
      </c>
      <c r="BL103" s="435">
        <v>3</v>
      </c>
      <c r="BM103" s="435">
        <v>3</v>
      </c>
      <c r="BN103" s="436">
        <v>3</v>
      </c>
    </row>
    <row r="104" spans="1:66" s="57" customFormat="1" ht="15" customHeight="1" x14ac:dyDescent="0.2">
      <c r="A104" s="169" t="s">
        <v>43</v>
      </c>
      <c r="B104" s="150">
        <v>20.079999999999998</v>
      </c>
      <c r="C104" s="117">
        <v>47.309999999999995</v>
      </c>
      <c r="D104" s="117">
        <v>3.88</v>
      </c>
      <c r="E104" s="135">
        <v>121.16</v>
      </c>
      <c r="F104" s="151"/>
      <c r="G104" s="152"/>
      <c r="H104" s="182">
        <v>0.3</v>
      </c>
      <c r="I104" s="117">
        <v>0.3</v>
      </c>
      <c r="J104" s="117" t="s">
        <v>26</v>
      </c>
      <c r="K104" s="117" t="s">
        <v>26</v>
      </c>
      <c r="L104" s="117">
        <v>0.44999999999999996</v>
      </c>
      <c r="M104" s="135">
        <v>79.88000000000001</v>
      </c>
      <c r="N104" s="151"/>
      <c r="O104" s="152"/>
      <c r="P104" s="182">
        <v>0.3</v>
      </c>
      <c r="Q104" s="117">
        <v>0.3</v>
      </c>
      <c r="R104" s="117" t="s">
        <v>26</v>
      </c>
      <c r="S104" s="117" t="s">
        <v>26</v>
      </c>
      <c r="T104" s="117">
        <v>0.38</v>
      </c>
      <c r="U104" s="117">
        <v>11.53</v>
      </c>
      <c r="V104" s="118">
        <v>11.49</v>
      </c>
      <c r="W104" s="153"/>
      <c r="X104" s="153"/>
      <c r="Y104" s="173" t="s">
        <v>26</v>
      </c>
      <c r="Z104" s="117">
        <v>3</v>
      </c>
      <c r="AA104" s="117">
        <v>3</v>
      </c>
      <c r="AB104" s="117">
        <v>3</v>
      </c>
      <c r="AC104" s="117">
        <v>3</v>
      </c>
      <c r="AD104" s="117">
        <v>3</v>
      </c>
      <c r="AE104" s="118">
        <v>3</v>
      </c>
      <c r="AG104" s="2"/>
      <c r="AH104" s="2"/>
      <c r="AJ104" s="400" t="s">
        <v>43</v>
      </c>
      <c r="AK104" s="154">
        <v>20.079999999999998</v>
      </c>
      <c r="AL104" s="156">
        <v>47.41</v>
      </c>
      <c r="AM104" s="156">
        <v>3.9299999999999997</v>
      </c>
      <c r="AN104" s="431">
        <v>121.46</v>
      </c>
      <c r="AO104" s="151"/>
      <c r="AP104" s="152"/>
      <c r="AQ104" s="173">
        <v>0.39</v>
      </c>
      <c r="AR104" s="117">
        <v>0.39</v>
      </c>
      <c r="AS104" s="432" t="s">
        <v>26</v>
      </c>
      <c r="AT104" s="433" t="s">
        <v>26</v>
      </c>
      <c r="AU104" s="433">
        <v>0.49999999999999994</v>
      </c>
      <c r="AV104" s="434">
        <v>80.180000000000007</v>
      </c>
      <c r="AW104" s="151"/>
      <c r="AX104" s="152"/>
      <c r="AY104" s="173">
        <v>0.39</v>
      </c>
      <c r="AZ104" s="117">
        <v>0.39</v>
      </c>
      <c r="BA104" s="432" t="s">
        <v>26</v>
      </c>
      <c r="BB104" s="433" t="s">
        <v>26</v>
      </c>
      <c r="BC104" s="434">
        <v>0.43</v>
      </c>
      <c r="BD104" s="435">
        <v>11.53</v>
      </c>
      <c r="BE104" s="436">
        <v>11.49</v>
      </c>
      <c r="BF104" s="403"/>
      <c r="BG104" s="403"/>
      <c r="BH104" s="437" t="s">
        <v>26</v>
      </c>
      <c r="BI104" s="443">
        <v>3</v>
      </c>
      <c r="BJ104" s="435">
        <v>3</v>
      </c>
      <c r="BK104" s="435">
        <v>3</v>
      </c>
      <c r="BL104" s="435">
        <v>3</v>
      </c>
      <c r="BM104" s="435">
        <v>3</v>
      </c>
      <c r="BN104" s="436">
        <v>3</v>
      </c>
    </row>
    <row r="105" spans="1:66" s="57" customFormat="1" ht="15" customHeight="1" x14ac:dyDescent="0.2">
      <c r="A105" s="169" t="s">
        <v>44</v>
      </c>
      <c r="B105" s="150">
        <v>20.92</v>
      </c>
      <c r="C105" s="117">
        <v>49.339999999999996</v>
      </c>
      <c r="D105" s="117">
        <v>3.7399999999999998</v>
      </c>
      <c r="E105" s="135">
        <v>122.74000000000001</v>
      </c>
      <c r="F105" s="151"/>
      <c r="G105" s="152"/>
      <c r="H105" s="182">
        <v>0.3</v>
      </c>
      <c r="I105" s="117">
        <v>0.3</v>
      </c>
      <c r="J105" s="117" t="s">
        <v>26</v>
      </c>
      <c r="K105" s="117" t="s">
        <v>26</v>
      </c>
      <c r="L105" s="117">
        <v>0.44999999999999996</v>
      </c>
      <c r="M105" s="135">
        <v>84.55</v>
      </c>
      <c r="N105" s="151"/>
      <c r="O105" s="152"/>
      <c r="P105" s="182">
        <v>0.3</v>
      </c>
      <c r="Q105" s="117">
        <v>0.3</v>
      </c>
      <c r="R105" s="117" t="s">
        <v>26</v>
      </c>
      <c r="S105" s="117" t="s">
        <v>26</v>
      </c>
      <c r="T105" s="117">
        <v>0.53</v>
      </c>
      <c r="U105" s="117">
        <v>11.51</v>
      </c>
      <c r="V105" s="118">
        <v>11.5</v>
      </c>
      <c r="W105" s="153"/>
      <c r="X105" s="153"/>
      <c r="Y105" s="444" t="s">
        <v>26</v>
      </c>
      <c r="Z105" s="117">
        <v>3</v>
      </c>
      <c r="AA105" s="117">
        <v>3</v>
      </c>
      <c r="AB105" s="117">
        <v>3</v>
      </c>
      <c r="AC105" s="117">
        <v>3</v>
      </c>
      <c r="AD105" s="117">
        <v>3</v>
      </c>
      <c r="AE105" s="118">
        <v>3</v>
      </c>
      <c r="AG105" s="2"/>
      <c r="AH105" s="2"/>
      <c r="AJ105" s="400" t="s">
        <v>44</v>
      </c>
      <c r="AK105" s="154">
        <v>20.92</v>
      </c>
      <c r="AL105" s="156">
        <v>49.44</v>
      </c>
      <c r="AM105" s="156">
        <v>3.7899999999999996</v>
      </c>
      <c r="AN105" s="431">
        <v>123.04</v>
      </c>
      <c r="AO105" s="151"/>
      <c r="AP105" s="152"/>
      <c r="AQ105" s="173">
        <v>0.39</v>
      </c>
      <c r="AR105" s="117">
        <v>0.39</v>
      </c>
      <c r="AS105" s="432" t="s">
        <v>26</v>
      </c>
      <c r="AT105" s="433" t="s">
        <v>26</v>
      </c>
      <c r="AU105" s="433">
        <v>0.49999999999999994</v>
      </c>
      <c r="AV105" s="434">
        <v>84.85</v>
      </c>
      <c r="AW105" s="151"/>
      <c r="AX105" s="152"/>
      <c r="AY105" s="173">
        <v>0.39</v>
      </c>
      <c r="AZ105" s="117">
        <v>0.39</v>
      </c>
      <c r="BA105" s="432" t="s">
        <v>26</v>
      </c>
      <c r="BB105" s="433" t="s">
        <v>26</v>
      </c>
      <c r="BC105" s="434">
        <v>0.58000000000000007</v>
      </c>
      <c r="BD105" s="435">
        <v>11.51</v>
      </c>
      <c r="BE105" s="436">
        <v>11.5</v>
      </c>
      <c r="BF105" s="403"/>
      <c r="BG105" s="403"/>
      <c r="BH105" s="437" t="s">
        <v>26</v>
      </c>
      <c r="BI105" s="443">
        <v>3</v>
      </c>
      <c r="BJ105" s="435">
        <v>3</v>
      </c>
      <c r="BK105" s="435">
        <v>3</v>
      </c>
      <c r="BL105" s="435">
        <v>3</v>
      </c>
      <c r="BM105" s="435">
        <v>3</v>
      </c>
      <c r="BN105" s="436">
        <v>3</v>
      </c>
    </row>
    <row r="106" spans="1:66" s="57" customFormat="1" ht="15" customHeight="1" x14ac:dyDescent="0.2">
      <c r="A106" s="169" t="s">
        <v>45</v>
      </c>
      <c r="B106" s="150">
        <v>21.91</v>
      </c>
      <c r="C106" s="117">
        <v>51.57</v>
      </c>
      <c r="D106" s="117">
        <v>3.6</v>
      </c>
      <c r="E106" s="135">
        <v>123.79</v>
      </c>
      <c r="F106" s="151"/>
      <c r="G106" s="152"/>
      <c r="H106" s="182">
        <v>0.3</v>
      </c>
      <c r="I106" s="117">
        <v>0.3</v>
      </c>
      <c r="J106" s="117" t="s">
        <v>26</v>
      </c>
      <c r="K106" s="117" t="s">
        <v>26</v>
      </c>
      <c r="L106" s="117">
        <v>0.44999999999999996</v>
      </c>
      <c r="M106" s="135">
        <v>88.3</v>
      </c>
      <c r="N106" s="151"/>
      <c r="O106" s="152"/>
      <c r="P106" s="182">
        <v>0.3</v>
      </c>
      <c r="Q106" s="117">
        <v>0.3</v>
      </c>
      <c r="R106" s="117" t="s">
        <v>26</v>
      </c>
      <c r="S106" s="117" t="s">
        <v>26</v>
      </c>
      <c r="T106" s="117">
        <v>0.64</v>
      </c>
      <c r="U106" s="117">
        <v>11.48</v>
      </c>
      <c r="V106" s="118">
        <v>11.5</v>
      </c>
      <c r="W106" s="153"/>
      <c r="X106" s="153"/>
      <c r="Y106" s="444" t="s">
        <v>26</v>
      </c>
      <c r="Z106" s="117">
        <v>3</v>
      </c>
      <c r="AA106" s="117">
        <v>3</v>
      </c>
      <c r="AB106" s="117">
        <v>3</v>
      </c>
      <c r="AC106" s="117">
        <v>3</v>
      </c>
      <c r="AD106" s="117">
        <v>3</v>
      </c>
      <c r="AE106" s="118">
        <v>3</v>
      </c>
      <c r="AG106" s="2"/>
      <c r="AH106" s="2"/>
      <c r="AJ106" s="400" t="s">
        <v>45</v>
      </c>
      <c r="AK106" s="154">
        <v>21.91</v>
      </c>
      <c r="AL106" s="156">
        <v>51.67</v>
      </c>
      <c r="AM106" s="156">
        <v>3.65</v>
      </c>
      <c r="AN106" s="431">
        <v>124.09</v>
      </c>
      <c r="AO106" s="151"/>
      <c r="AP106" s="152"/>
      <c r="AQ106" s="173">
        <v>0.39</v>
      </c>
      <c r="AR106" s="117">
        <v>0.39</v>
      </c>
      <c r="AS106" s="432" t="s">
        <v>26</v>
      </c>
      <c r="AT106" s="433" t="s">
        <v>26</v>
      </c>
      <c r="AU106" s="433">
        <v>0.49999999999999994</v>
      </c>
      <c r="AV106" s="434">
        <v>88.6</v>
      </c>
      <c r="AW106" s="151"/>
      <c r="AX106" s="152"/>
      <c r="AY106" s="173">
        <v>0.39</v>
      </c>
      <c r="AZ106" s="117">
        <v>0.39</v>
      </c>
      <c r="BA106" s="432" t="s">
        <v>26</v>
      </c>
      <c r="BB106" s="433" t="s">
        <v>26</v>
      </c>
      <c r="BC106" s="434">
        <v>0.69000000000000006</v>
      </c>
      <c r="BD106" s="435">
        <v>11.48</v>
      </c>
      <c r="BE106" s="436">
        <v>11.5</v>
      </c>
      <c r="BF106" s="403"/>
      <c r="BG106" s="403"/>
      <c r="BH106" s="437" t="s">
        <v>26</v>
      </c>
      <c r="BI106" s="443">
        <v>3</v>
      </c>
      <c r="BJ106" s="435">
        <v>3</v>
      </c>
      <c r="BK106" s="435">
        <v>3</v>
      </c>
      <c r="BL106" s="435">
        <v>3</v>
      </c>
      <c r="BM106" s="435">
        <v>3</v>
      </c>
      <c r="BN106" s="436">
        <v>3</v>
      </c>
    </row>
    <row r="107" spans="1:66" s="57" customFormat="1" ht="15" customHeight="1" x14ac:dyDescent="0.2">
      <c r="A107" s="169" t="s">
        <v>46</v>
      </c>
      <c r="B107" s="150">
        <v>22.57</v>
      </c>
      <c r="C107" s="117">
        <v>53.54</v>
      </c>
      <c r="D107" s="117">
        <v>3.48</v>
      </c>
      <c r="E107" s="135">
        <v>123.55</v>
      </c>
      <c r="F107" s="151"/>
      <c r="G107" s="152"/>
      <c r="H107" s="182">
        <v>0.3</v>
      </c>
      <c r="I107" s="117">
        <v>0.3</v>
      </c>
      <c r="J107" s="117" t="s">
        <v>26</v>
      </c>
      <c r="K107" s="117" t="s">
        <v>26</v>
      </c>
      <c r="L107" s="117">
        <v>0.5</v>
      </c>
      <c r="M107" s="135">
        <v>89.29</v>
      </c>
      <c r="N107" s="151"/>
      <c r="O107" s="152"/>
      <c r="P107" s="182">
        <v>0.3</v>
      </c>
      <c r="Q107" s="117">
        <v>0.3</v>
      </c>
      <c r="R107" s="117" t="s">
        <v>26</v>
      </c>
      <c r="S107" s="117" t="s">
        <v>26</v>
      </c>
      <c r="T107" s="117">
        <v>0.65</v>
      </c>
      <c r="U107" s="117">
        <v>11.43</v>
      </c>
      <c r="V107" s="118">
        <v>11.48</v>
      </c>
      <c r="W107" s="153"/>
      <c r="X107" s="153"/>
      <c r="Y107" s="444" t="s">
        <v>26</v>
      </c>
      <c r="Z107" s="117">
        <v>3</v>
      </c>
      <c r="AA107" s="117">
        <v>3</v>
      </c>
      <c r="AB107" s="117">
        <v>3</v>
      </c>
      <c r="AC107" s="117">
        <v>3</v>
      </c>
      <c r="AD107" s="117">
        <v>3</v>
      </c>
      <c r="AE107" s="118">
        <v>3</v>
      </c>
      <c r="AG107" s="2"/>
      <c r="AH107" s="2"/>
      <c r="AJ107" s="400" t="s">
        <v>46</v>
      </c>
      <c r="AK107" s="154">
        <v>22.57</v>
      </c>
      <c r="AL107" s="156">
        <v>53.64</v>
      </c>
      <c r="AM107" s="156">
        <v>3.53</v>
      </c>
      <c r="AN107" s="431">
        <v>123.85</v>
      </c>
      <c r="AO107" s="151"/>
      <c r="AP107" s="152"/>
      <c r="AQ107" s="173">
        <v>0.39</v>
      </c>
      <c r="AR107" s="117">
        <v>0.39</v>
      </c>
      <c r="AS107" s="432" t="s">
        <v>26</v>
      </c>
      <c r="AT107" s="433" t="s">
        <v>26</v>
      </c>
      <c r="AU107" s="433">
        <v>0.55000000000000004</v>
      </c>
      <c r="AV107" s="434">
        <v>89.59</v>
      </c>
      <c r="AW107" s="151"/>
      <c r="AX107" s="152"/>
      <c r="AY107" s="173">
        <v>0.39</v>
      </c>
      <c r="AZ107" s="117">
        <v>0.39</v>
      </c>
      <c r="BA107" s="432" t="s">
        <v>26</v>
      </c>
      <c r="BB107" s="433" t="s">
        <v>26</v>
      </c>
      <c r="BC107" s="434">
        <v>0.70000000000000007</v>
      </c>
      <c r="BD107" s="435">
        <v>11.43</v>
      </c>
      <c r="BE107" s="436">
        <v>11.48</v>
      </c>
      <c r="BF107" s="403"/>
      <c r="BG107" s="403"/>
      <c r="BH107" s="437" t="s">
        <v>26</v>
      </c>
      <c r="BI107" s="443">
        <v>3</v>
      </c>
      <c r="BJ107" s="435">
        <v>3</v>
      </c>
      <c r="BK107" s="435">
        <v>3</v>
      </c>
      <c r="BL107" s="435">
        <v>3</v>
      </c>
      <c r="BM107" s="435">
        <v>3</v>
      </c>
      <c r="BN107" s="436">
        <v>3</v>
      </c>
    </row>
    <row r="108" spans="1:66" s="57" customFormat="1" ht="15" customHeight="1" x14ac:dyDescent="0.2">
      <c r="A108" s="169" t="s">
        <v>47</v>
      </c>
      <c r="B108" s="150">
        <v>23.2</v>
      </c>
      <c r="C108" s="117">
        <v>55.41</v>
      </c>
      <c r="D108" s="117">
        <v>3.38</v>
      </c>
      <c r="E108" s="135">
        <v>120.12</v>
      </c>
      <c r="F108" s="151"/>
      <c r="G108" s="152"/>
      <c r="H108" s="182">
        <v>0.3</v>
      </c>
      <c r="I108" s="117">
        <v>0.3</v>
      </c>
      <c r="J108" s="117" t="s">
        <v>26</v>
      </c>
      <c r="K108" s="117" t="s">
        <v>26</v>
      </c>
      <c r="L108" s="117">
        <v>0.6</v>
      </c>
      <c r="M108" s="135">
        <v>85.84</v>
      </c>
      <c r="N108" s="151"/>
      <c r="O108" s="152"/>
      <c r="P108" s="182">
        <v>0.3</v>
      </c>
      <c r="Q108" s="117">
        <v>0.3</v>
      </c>
      <c r="R108" s="117" t="s">
        <v>26</v>
      </c>
      <c r="S108" s="117" t="s">
        <v>26</v>
      </c>
      <c r="T108" s="117">
        <v>0.65</v>
      </c>
      <c r="U108" s="117">
        <v>11.4</v>
      </c>
      <c r="V108" s="135">
        <v>11.46</v>
      </c>
      <c r="W108" s="334">
        <v>1.72</v>
      </c>
      <c r="X108" s="335">
        <v>1.05</v>
      </c>
      <c r="Y108" s="182" t="s">
        <v>26</v>
      </c>
      <c r="Z108" s="117">
        <v>3</v>
      </c>
      <c r="AA108" s="117">
        <v>3</v>
      </c>
      <c r="AB108" s="117">
        <v>3</v>
      </c>
      <c r="AC108" s="117">
        <v>3</v>
      </c>
      <c r="AD108" s="117">
        <v>3</v>
      </c>
      <c r="AE108" s="118">
        <v>3</v>
      </c>
      <c r="AG108" s="2"/>
      <c r="AH108" s="2"/>
      <c r="AJ108" s="400" t="s">
        <v>47</v>
      </c>
      <c r="AK108" s="154">
        <v>23.2</v>
      </c>
      <c r="AL108" s="156">
        <v>55.51</v>
      </c>
      <c r="AM108" s="156">
        <v>3.4299999999999997</v>
      </c>
      <c r="AN108" s="431">
        <v>120.42</v>
      </c>
      <c r="AO108" s="151"/>
      <c r="AP108" s="152"/>
      <c r="AQ108" s="173">
        <v>0.39</v>
      </c>
      <c r="AR108" s="117">
        <v>0.39</v>
      </c>
      <c r="AS108" s="432" t="s">
        <v>26</v>
      </c>
      <c r="AT108" s="433" t="s">
        <v>26</v>
      </c>
      <c r="AU108" s="433">
        <v>0.65</v>
      </c>
      <c r="AV108" s="434">
        <v>86.14</v>
      </c>
      <c r="AW108" s="151"/>
      <c r="AX108" s="152"/>
      <c r="AY108" s="173">
        <v>0.39</v>
      </c>
      <c r="AZ108" s="117">
        <v>0.39</v>
      </c>
      <c r="BA108" s="432" t="s">
        <v>26</v>
      </c>
      <c r="BB108" s="433" t="s">
        <v>26</v>
      </c>
      <c r="BC108" s="434">
        <v>0.70000000000000007</v>
      </c>
      <c r="BD108" s="435">
        <v>11.4</v>
      </c>
      <c r="BE108" s="448">
        <v>11.46</v>
      </c>
      <c r="BF108" s="449">
        <v>1.72</v>
      </c>
      <c r="BG108" s="449">
        <v>1.05</v>
      </c>
      <c r="BH108" s="443" t="s">
        <v>26</v>
      </c>
      <c r="BI108" s="443">
        <v>3</v>
      </c>
      <c r="BJ108" s="435">
        <v>3</v>
      </c>
      <c r="BK108" s="435">
        <v>3</v>
      </c>
      <c r="BL108" s="435">
        <v>3</v>
      </c>
      <c r="BM108" s="435">
        <v>3</v>
      </c>
      <c r="BN108" s="436">
        <v>3</v>
      </c>
    </row>
    <row r="109" spans="1:66" s="57" customFormat="1" ht="15" customHeight="1" x14ac:dyDescent="0.2">
      <c r="A109" s="169" t="s">
        <v>48</v>
      </c>
      <c r="B109" s="150">
        <v>23.8</v>
      </c>
      <c r="C109" s="117">
        <v>56.949999999999996</v>
      </c>
      <c r="D109" s="117">
        <v>3.3</v>
      </c>
      <c r="E109" s="135">
        <v>114.71000000000001</v>
      </c>
      <c r="F109" s="151"/>
      <c r="G109" s="152"/>
      <c r="H109" s="182">
        <v>0.3</v>
      </c>
      <c r="I109" s="117">
        <v>0.3</v>
      </c>
      <c r="J109" s="117" t="s">
        <v>26</v>
      </c>
      <c r="K109" s="117" t="s">
        <v>26</v>
      </c>
      <c r="L109" s="117">
        <v>0.65</v>
      </c>
      <c r="M109" s="135">
        <v>80.740000000000009</v>
      </c>
      <c r="N109" s="151"/>
      <c r="O109" s="152"/>
      <c r="P109" s="182">
        <v>0.3</v>
      </c>
      <c r="Q109" s="117">
        <v>0.3</v>
      </c>
      <c r="R109" s="117" t="s">
        <v>26</v>
      </c>
      <c r="S109" s="117" t="s">
        <v>26</v>
      </c>
      <c r="T109" s="117">
        <v>0.65</v>
      </c>
      <c r="U109" s="117">
        <v>11.379999999999999</v>
      </c>
      <c r="V109" s="118">
        <v>11.42</v>
      </c>
      <c r="W109" s="153"/>
      <c r="X109" s="153"/>
      <c r="Y109" s="173" t="s">
        <v>26</v>
      </c>
      <c r="Z109" s="117">
        <v>3</v>
      </c>
      <c r="AA109" s="117">
        <v>3</v>
      </c>
      <c r="AB109" s="117">
        <v>3</v>
      </c>
      <c r="AC109" s="117">
        <v>3</v>
      </c>
      <c r="AD109" s="117">
        <v>3</v>
      </c>
      <c r="AE109" s="118">
        <v>3</v>
      </c>
      <c r="AG109" s="2"/>
      <c r="AH109" s="2"/>
      <c r="AJ109" s="400" t="s">
        <v>48</v>
      </c>
      <c r="AK109" s="154">
        <v>23.8</v>
      </c>
      <c r="AL109" s="156">
        <v>57.05</v>
      </c>
      <c r="AM109" s="156">
        <v>3.3499999999999996</v>
      </c>
      <c r="AN109" s="431">
        <v>115.01</v>
      </c>
      <c r="AO109" s="151"/>
      <c r="AP109" s="152"/>
      <c r="AQ109" s="173">
        <v>0.39</v>
      </c>
      <c r="AR109" s="117">
        <v>0.39</v>
      </c>
      <c r="AS109" s="432" t="s">
        <v>26</v>
      </c>
      <c r="AT109" s="433" t="s">
        <v>26</v>
      </c>
      <c r="AU109" s="433">
        <v>0.70000000000000007</v>
      </c>
      <c r="AV109" s="434">
        <v>81.040000000000006</v>
      </c>
      <c r="AW109" s="151"/>
      <c r="AX109" s="152"/>
      <c r="AY109" s="173">
        <v>0.39</v>
      </c>
      <c r="AZ109" s="117">
        <v>0.39</v>
      </c>
      <c r="BA109" s="432" t="s">
        <v>26</v>
      </c>
      <c r="BB109" s="433" t="s">
        <v>26</v>
      </c>
      <c r="BC109" s="434">
        <v>0.70000000000000007</v>
      </c>
      <c r="BD109" s="435">
        <v>11.379999999999999</v>
      </c>
      <c r="BE109" s="436">
        <v>11.42</v>
      </c>
      <c r="BF109" s="403"/>
      <c r="BG109" s="403"/>
      <c r="BH109" s="437" t="s">
        <v>26</v>
      </c>
      <c r="BI109" s="443">
        <v>3</v>
      </c>
      <c r="BJ109" s="435">
        <v>3</v>
      </c>
      <c r="BK109" s="435">
        <v>3</v>
      </c>
      <c r="BL109" s="435">
        <v>3</v>
      </c>
      <c r="BM109" s="435">
        <v>3</v>
      </c>
      <c r="BN109" s="436">
        <v>3</v>
      </c>
    </row>
    <row r="110" spans="1:66" s="57" customFormat="1" ht="15" customHeight="1" x14ac:dyDescent="0.2">
      <c r="A110" s="169" t="s">
        <v>49</v>
      </c>
      <c r="B110" s="150">
        <v>24.51</v>
      </c>
      <c r="C110" s="117">
        <v>58.19</v>
      </c>
      <c r="D110" s="117">
        <v>3.1999999999999997</v>
      </c>
      <c r="E110" s="135">
        <v>106.81</v>
      </c>
      <c r="F110" s="151"/>
      <c r="G110" s="152"/>
      <c r="H110" s="182">
        <v>0.3</v>
      </c>
      <c r="I110" s="117">
        <v>0.3</v>
      </c>
      <c r="J110" s="117" t="s">
        <v>26</v>
      </c>
      <c r="K110" s="117" t="s">
        <v>26</v>
      </c>
      <c r="L110" s="117">
        <v>0.65</v>
      </c>
      <c r="M110" s="135">
        <v>73.14</v>
      </c>
      <c r="N110" s="151"/>
      <c r="O110" s="152"/>
      <c r="P110" s="182">
        <v>0.3</v>
      </c>
      <c r="Q110" s="117">
        <v>0.3</v>
      </c>
      <c r="R110" s="117" t="s">
        <v>26</v>
      </c>
      <c r="S110" s="117" t="s">
        <v>26</v>
      </c>
      <c r="T110" s="117">
        <v>0.65</v>
      </c>
      <c r="U110" s="117">
        <v>11.35</v>
      </c>
      <c r="V110" s="118">
        <v>11.370000000000001</v>
      </c>
      <c r="W110" s="153"/>
      <c r="X110" s="153"/>
      <c r="Y110" s="444" t="s">
        <v>26</v>
      </c>
      <c r="Z110" s="117">
        <v>3</v>
      </c>
      <c r="AA110" s="117">
        <v>3</v>
      </c>
      <c r="AB110" s="117">
        <v>3</v>
      </c>
      <c r="AC110" s="117">
        <v>3</v>
      </c>
      <c r="AD110" s="117">
        <v>3</v>
      </c>
      <c r="AE110" s="118">
        <v>3</v>
      </c>
      <c r="AG110" s="2"/>
      <c r="AH110" s="2"/>
      <c r="AJ110" s="400" t="s">
        <v>49</v>
      </c>
      <c r="AK110" s="154">
        <v>24.51</v>
      </c>
      <c r="AL110" s="450">
        <v>58.69</v>
      </c>
      <c r="AM110" s="156">
        <v>3.2499999999999996</v>
      </c>
      <c r="AN110" s="431">
        <v>107.11</v>
      </c>
      <c r="AO110" s="151"/>
      <c r="AP110" s="152"/>
      <c r="AQ110" s="173">
        <v>0.39</v>
      </c>
      <c r="AR110" s="117">
        <v>0.39</v>
      </c>
      <c r="AS110" s="432" t="s">
        <v>26</v>
      </c>
      <c r="AT110" s="433" t="s">
        <v>26</v>
      </c>
      <c r="AU110" s="433">
        <v>0.70000000000000007</v>
      </c>
      <c r="AV110" s="434">
        <v>73.44</v>
      </c>
      <c r="AW110" s="151"/>
      <c r="AX110" s="152"/>
      <c r="AY110" s="173">
        <v>0.39</v>
      </c>
      <c r="AZ110" s="117">
        <v>0.39</v>
      </c>
      <c r="BA110" s="432" t="s">
        <v>26</v>
      </c>
      <c r="BB110" s="433" t="s">
        <v>26</v>
      </c>
      <c r="BC110" s="434">
        <v>0.70000000000000007</v>
      </c>
      <c r="BD110" s="435">
        <v>11.35</v>
      </c>
      <c r="BE110" s="436">
        <v>11.370000000000001</v>
      </c>
      <c r="BF110" s="403"/>
      <c r="BG110" s="403"/>
      <c r="BH110" s="437" t="s">
        <v>26</v>
      </c>
      <c r="BI110" s="443">
        <v>3</v>
      </c>
      <c r="BJ110" s="435">
        <v>3</v>
      </c>
      <c r="BK110" s="435">
        <v>3</v>
      </c>
      <c r="BL110" s="435">
        <v>3</v>
      </c>
      <c r="BM110" s="435">
        <v>3</v>
      </c>
      <c r="BN110" s="436">
        <v>3</v>
      </c>
    </row>
    <row r="111" spans="1:66" s="57" customFormat="1" ht="15" customHeight="1" x14ac:dyDescent="0.2">
      <c r="A111" s="169" t="s">
        <v>50</v>
      </c>
      <c r="B111" s="150">
        <v>25.43</v>
      </c>
      <c r="C111" s="117">
        <v>59.25</v>
      </c>
      <c r="D111" s="117">
        <v>3.09</v>
      </c>
      <c r="E111" s="135">
        <v>99.29</v>
      </c>
      <c r="F111" s="151"/>
      <c r="G111" s="152"/>
      <c r="H111" s="182">
        <v>0.3</v>
      </c>
      <c r="I111" s="117">
        <v>0.3</v>
      </c>
      <c r="J111" s="117" t="s">
        <v>26</v>
      </c>
      <c r="K111" s="117" t="s">
        <v>26</v>
      </c>
      <c r="L111" s="117">
        <v>0.64</v>
      </c>
      <c r="M111" s="135">
        <v>68.600000000000009</v>
      </c>
      <c r="N111" s="151"/>
      <c r="O111" s="152"/>
      <c r="P111" s="182">
        <v>0.3</v>
      </c>
      <c r="Q111" s="117">
        <v>0.3</v>
      </c>
      <c r="R111" s="117" t="s">
        <v>26</v>
      </c>
      <c r="S111" s="117" t="s">
        <v>26</v>
      </c>
      <c r="T111" s="117">
        <v>0.66</v>
      </c>
      <c r="U111" s="117">
        <v>11.32</v>
      </c>
      <c r="V111" s="118">
        <v>11.32</v>
      </c>
      <c r="W111" s="153"/>
      <c r="X111" s="153"/>
      <c r="Y111" s="444" t="s">
        <v>26</v>
      </c>
      <c r="Z111" s="117">
        <v>3</v>
      </c>
      <c r="AA111" s="117">
        <v>3</v>
      </c>
      <c r="AB111" s="117">
        <v>3</v>
      </c>
      <c r="AC111" s="117">
        <v>3</v>
      </c>
      <c r="AD111" s="117">
        <v>3</v>
      </c>
      <c r="AE111" s="118">
        <v>3</v>
      </c>
      <c r="AG111" s="2"/>
      <c r="AH111" s="2"/>
      <c r="AJ111" s="400" t="s">
        <v>50</v>
      </c>
      <c r="AK111" s="154">
        <v>25.43</v>
      </c>
      <c r="AL111" s="156">
        <v>59.75</v>
      </c>
      <c r="AM111" s="156">
        <v>3.1399999999999997</v>
      </c>
      <c r="AN111" s="431">
        <v>99.59</v>
      </c>
      <c r="AO111" s="151"/>
      <c r="AP111" s="152"/>
      <c r="AQ111" s="173">
        <v>0.39</v>
      </c>
      <c r="AR111" s="117">
        <v>0.39</v>
      </c>
      <c r="AS111" s="432" t="s">
        <v>26</v>
      </c>
      <c r="AT111" s="433" t="s">
        <v>26</v>
      </c>
      <c r="AU111" s="433">
        <v>0.69000000000000006</v>
      </c>
      <c r="AV111" s="434">
        <v>68.900000000000006</v>
      </c>
      <c r="AW111" s="151"/>
      <c r="AX111" s="152"/>
      <c r="AY111" s="173">
        <v>0.39</v>
      </c>
      <c r="AZ111" s="117">
        <v>0.39</v>
      </c>
      <c r="BA111" s="432" t="s">
        <v>26</v>
      </c>
      <c r="BB111" s="433" t="s">
        <v>26</v>
      </c>
      <c r="BC111" s="434">
        <v>0.71000000000000008</v>
      </c>
      <c r="BD111" s="435">
        <v>11.32</v>
      </c>
      <c r="BE111" s="436">
        <v>11.32</v>
      </c>
      <c r="BF111" s="403"/>
      <c r="BG111" s="403"/>
      <c r="BH111" s="437" t="s">
        <v>26</v>
      </c>
      <c r="BI111" s="443">
        <v>3</v>
      </c>
      <c r="BJ111" s="435">
        <v>3</v>
      </c>
      <c r="BK111" s="435">
        <v>3</v>
      </c>
      <c r="BL111" s="435">
        <v>3</v>
      </c>
      <c r="BM111" s="435">
        <v>3</v>
      </c>
      <c r="BN111" s="436">
        <v>3</v>
      </c>
    </row>
    <row r="112" spans="1:66" s="57" customFormat="1" ht="15" customHeight="1" x14ac:dyDescent="0.2">
      <c r="A112" s="169" t="s">
        <v>51</v>
      </c>
      <c r="B112" s="150">
        <v>26.45</v>
      </c>
      <c r="C112" s="117">
        <v>59.879999999999995</v>
      </c>
      <c r="D112" s="117">
        <v>2.96</v>
      </c>
      <c r="E112" s="135">
        <v>93.73</v>
      </c>
      <c r="F112" s="151"/>
      <c r="G112" s="152"/>
      <c r="H112" s="182">
        <v>0.3</v>
      </c>
      <c r="I112" s="117">
        <v>0.3</v>
      </c>
      <c r="J112" s="117" t="s">
        <v>26</v>
      </c>
      <c r="K112" s="117" t="s">
        <v>26</v>
      </c>
      <c r="L112" s="117">
        <v>0.64</v>
      </c>
      <c r="M112" s="135">
        <v>70.55</v>
      </c>
      <c r="N112" s="151"/>
      <c r="O112" s="152"/>
      <c r="P112" s="182">
        <v>0.3</v>
      </c>
      <c r="Q112" s="117">
        <v>0.3</v>
      </c>
      <c r="R112" s="117" t="s">
        <v>26</v>
      </c>
      <c r="S112" s="117" t="s">
        <v>26</v>
      </c>
      <c r="T112" s="117">
        <v>0.66</v>
      </c>
      <c r="U112" s="117">
        <v>11.3</v>
      </c>
      <c r="V112" s="118">
        <v>11.27</v>
      </c>
      <c r="W112" s="153"/>
      <c r="X112" s="153"/>
      <c r="Y112" s="444" t="s">
        <v>26</v>
      </c>
      <c r="Z112" s="117">
        <v>3</v>
      </c>
      <c r="AA112" s="117">
        <v>3</v>
      </c>
      <c r="AB112" s="117">
        <v>3</v>
      </c>
      <c r="AC112" s="117">
        <v>3</v>
      </c>
      <c r="AD112" s="117">
        <v>3</v>
      </c>
      <c r="AE112" s="118">
        <v>3</v>
      </c>
      <c r="AG112" s="2"/>
      <c r="AH112" s="2"/>
      <c r="AJ112" s="400" t="s">
        <v>51</v>
      </c>
      <c r="AK112" s="154">
        <v>26.45</v>
      </c>
      <c r="AL112" s="156">
        <v>60.379999999999995</v>
      </c>
      <c r="AM112" s="156">
        <v>3.01</v>
      </c>
      <c r="AN112" s="431">
        <v>94.03</v>
      </c>
      <c r="AO112" s="151"/>
      <c r="AP112" s="152"/>
      <c r="AQ112" s="173">
        <v>0.39</v>
      </c>
      <c r="AR112" s="117">
        <v>0.39</v>
      </c>
      <c r="AS112" s="432" t="s">
        <v>26</v>
      </c>
      <c r="AT112" s="433" t="s">
        <v>26</v>
      </c>
      <c r="AU112" s="433">
        <v>0.69000000000000006</v>
      </c>
      <c r="AV112" s="434">
        <v>70.849999999999994</v>
      </c>
      <c r="AW112" s="151"/>
      <c r="AX112" s="152"/>
      <c r="AY112" s="173">
        <v>0.39</v>
      </c>
      <c r="AZ112" s="117">
        <v>0.39</v>
      </c>
      <c r="BA112" s="432" t="s">
        <v>26</v>
      </c>
      <c r="BB112" s="433" t="s">
        <v>26</v>
      </c>
      <c r="BC112" s="434">
        <v>0.71000000000000008</v>
      </c>
      <c r="BD112" s="435">
        <v>11.3</v>
      </c>
      <c r="BE112" s="436">
        <v>11.27</v>
      </c>
      <c r="BF112" s="403"/>
      <c r="BG112" s="403"/>
      <c r="BH112" s="437" t="s">
        <v>26</v>
      </c>
      <c r="BI112" s="443">
        <v>3</v>
      </c>
      <c r="BJ112" s="435">
        <v>3</v>
      </c>
      <c r="BK112" s="435">
        <v>3</v>
      </c>
      <c r="BL112" s="435">
        <v>3</v>
      </c>
      <c r="BM112" s="435">
        <v>3</v>
      </c>
      <c r="BN112" s="436">
        <v>3</v>
      </c>
    </row>
    <row r="113" spans="1:66" s="57" customFormat="1" ht="15" customHeight="1" x14ac:dyDescent="0.2">
      <c r="A113" s="169" t="s">
        <v>52</v>
      </c>
      <c r="B113" s="150">
        <v>27.77</v>
      </c>
      <c r="C113" s="117">
        <v>60.57</v>
      </c>
      <c r="D113" s="117">
        <v>2.84</v>
      </c>
      <c r="E113" s="135">
        <v>91.59</v>
      </c>
      <c r="F113" s="151"/>
      <c r="G113" s="152"/>
      <c r="H113" s="182">
        <v>0.3</v>
      </c>
      <c r="I113" s="117">
        <v>0.3</v>
      </c>
      <c r="J113" s="117" t="s">
        <v>26</v>
      </c>
      <c r="K113" s="117" t="s">
        <v>26</v>
      </c>
      <c r="L113" s="117">
        <v>0.64</v>
      </c>
      <c r="M113" s="135">
        <v>84.56</v>
      </c>
      <c r="N113" s="151"/>
      <c r="O113" s="152"/>
      <c r="P113" s="182">
        <v>0.3</v>
      </c>
      <c r="Q113" s="117">
        <v>0.3</v>
      </c>
      <c r="R113" s="117" t="s">
        <v>26</v>
      </c>
      <c r="S113" s="117" t="s">
        <v>26</v>
      </c>
      <c r="T113" s="117">
        <v>0.66</v>
      </c>
      <c r="U113" s="117">
        <v>11.26</v>
      </c>
      <c r="V113" s="118">
        <v>11.23</v>
      </c>
      <c r="W113" s="153"/>
      <c r="X113" s="153"/>
      <c r="Y113" s="444" t="s">
        <v>26</v>
      </c>
      <c r="Z113" s="117">
        <v>3</v>
      </c>
      <c r="AA113" s="117">
        <v>3</v>
      </c>
      <c r="AB113" s="117">
        <v>3</v>
      </c>
      <c r="AC113" s="117">
        <v>3</v>
      </c>
      <c r="AD113" s="117">
        <v>3</v>
      </c>
      <c r="AE113" s="118">
        <v>3</v>
      </c>
      <c r="AG113" s="2"/>
      <c r="AH113" s="2"/>
      <c r="AJ113" s="400" t="s">
        <v>52</v>
      </c>
      <c r="AK113" s="154">
        <v>27.77</v>
      </c>
      <c r="AL113" s="156">
        <v>61.07</v>
      </c>
      <c r="AM113" s="156">
        <v>2.8899999999999997</v>
      </c>
      <c r="AN113" s="431">
        <v>91.89</v>
      </c>
      <c r="AO113" s="151"/>
      <c r="AP113" s="152"/>
      <c r="AQ113" s="173">
        <v>0.39</v>
      </c>
      <c r="AR113" s="117">
        <v>0.39</v>
      </c>
      <c r="AS113" s="432" t="s">
        <v>26</v>
      </c>
      <c r="AT113" s="433" t="s">
        <v>26</v>
      </c>
      <c r="AU113" s="433">
        <v>0.69000000000000006</v>
      </c>
      <c r="AV113" s="434">
        <v>84.86</v>
      </c>
      <c r="AW113" s="151"/>
      <c r="AX113" s="152"/>
      <c r="AY113" s="173">
        <v>0.39</v>
      </c>
      <c r="AZ113" s="117">
        <v>0.39</v>
      </c>
      <c r="BA113" s="432" t="s">
        <v>26</v>
      </c>
      <c r="BB113" s="433" t="s">
        <v>26</v>
      </c>
      <c r="BC113" s="434">
        <v>0.71000000000000008</v>
      </c>
      <c r="BD113" s="435">
        <v>11.26</v>
      </c>
      <c r="BE113" s="436">
        <v>11.23</v>
      </c>
      <c r="BF113" s="403"/>
      <c r="BG113" s="403"/>
      <c r="BH113" s="437" t="s">
        <v>26</v>
      </c>
      <c r="BI113" s="443">
        <v>3</v>
      </c>
      <c r="BJ113" s="435">
        <v>3</v>
      </c>
      <c r="BK113" s="435">
        <v>3</v>
      </c>
      <c r="BL113" s="435">
        <v>3</v>
      </c>
      <c r="BM113" s="435">
        <v>3</v>
      </c>
      <c r="BN113" s="436">
        <v>3</v>
      </c>
    </row>
    <row r="114" spans="1:66" s="57" customFormat="1" ht="15" customHeight="1" x14ac:dyDescent="0.2">
      <c r="A114" s="169" t="s">
        <v>53</v>
      </c>
      <c r="B114" s="150">
        <v>27.24</v>
      </c>
      <c r="C114" s="117">
        <v>61.339999999999996</v>
      </c>
      <c r="D114" s="117">
        <v>2.73</v>
      </c>
      <c r="E114" s="135">
        <v>88.87</v>
      </c>
      <c r="F114" s="151"/>
      <c r="G114" s="152"/>
      <c r="H114" s="182">
        <v>0.3</v>
      </c>
      <c r="I114" s="117">
        <v>0.3</v>
      </c>
      <c r="J114" s="117" t="s">
        <v>26</v>
      </c>
      <c r="K114" s="117" t="s">
        <v>26</v>
      </c>
      <c r="L114" s="117">
        <v>0.62</v>
      </c>
      <c r="M114" s="135">
        <v>99.3</v>
      </c>
      <c r="N114" s="151"/>
      <c r="O114" s="152"/>
      <c r="P114" s="182">
        <v>0.3</v>
      </c>
      <c r="Q114" s="117">
        <v>0.3</v>
      </c>
      <c r="R114" s="117" t="s">
        <v>26</v>
      </c>
      <c r="S114" s="117" t="s">
        <v>26</v>
      </c>
      <c r="T114" s="117">
        <v>0.65</v>
      </c>
      <c r="U114" s="117">
        <v>11.26</v>
      </c>
      <c r="V114" s="118">
        <v>11.21</v>
      </c>
      <c r="W114" s="153"/>
      <c r="X114" s="153"/>
      <c r="Y114" s="444" t="s">
        <v>26</v>
      </c>
      <c r="Z114" s="117">
        <v>3</v>
      </c>
      <c r="AA114" s="117">
        <v>3</v>
      </c>
      <c r="AB114" s="117">
        <v>3</v>
      </c>
      <c r="AC114" s="117">
        <v>3</v>
      </c>
      <c r="AD114" s="117">
        <v>3</v>
      </c>
      <c r="AE114" s="118">
        <v>3</v>
      </c>
      <c r="AG114" s="2"/>
      <c r="AH114" s="2"/>
      <c r="AJ114" s="400" t="s">
        <v>53</v>
      </c>
      <c r="AK114" s="154">
        <v>27.24</v>
      </c>
      <c r="AL114" s="156">
        <v>61.839999999999996</v>
      </c>
      <c r="AM114" s="156">
        <v>2.78</v>
      </c>
      <c r="AN114" s="431">
        <v>89.17</v>
      </c>
      <c r="AO114" s="151"/>
      <c r="AP114" s="152"/>
      <c r="AQ114" s="173">
        <v>0.39</v>
      </c>
      <c r="AR114" s="117">
        <v>0.39</v>
      </c>
      <c r="AS114" s="432" t="s">
        <v>26</v>
      </c>
      <c r="AT114" s="433" t="s">
        <v>26</v>
      </c>
      <c r="AU114" s="433">
        <v>0.67</v>
      </c>
      <c r="AV114" s="434">
        <v>99.6</v>
      </c>
      <c r="AW114" s="151"/>
      <c r="AX114" s="152"/>
      <c r="AY114" s="173">
        <v>0.39</v>
      </c>
      <c r="AZ114" s="117">
        <v>0.39</v>
      </c>
      <c r="BA114" s="432" t="s">
        <v>26</v>
      </c>
      <c r="BB114" s="433" t="s">
        <v>26</v>
      </c>
      <c r="BC114" s="434">
        <v>0.70000000000000007</v>
      </c>
      <c r="BD114" s="435">
        <v>11.26</v>
      </c>
      <c r="BE114" s="436">
        <v>11.21</v>
      </c>
      <c r="BF114" s="403"/>
      <c r="BG114" s="403"/>
      <c r="BH114" s="437" t="s">
        <v>26</v>
      </c>
      <c r="BI114" s="443">
        <v>3</v>
      </c>
      <c r="BJ114" s="435">
        <v>3</v>
      </c>
      <c r="BK114" s="435">
        <v>3</v>
      </c>
      <c r="BL114" s="435">
        <v>3</v>
      </c>
      <c r="BM114" s="435">
        <v>3</v>
      </c>
      <c r="BN114" s="436">
        <v>3</v>
      </c>
    </row>
    <row r="115" spans="1:66" s="57" customFormat="1" ht="15" customHeight="1" x14ac:dyDescent="0.2">
      <c r="A115" s="169" t="s">
        <v>54</v>
      </c>
      <c r="B115" s="150">
        <v>26.529999999999998</v>
      </c>
      <c r="C115" s="117">
        <v>62.559999999999995</v>
      </c>
      <c r="D115" s="117">
        <v>2.7199999999999998</v>
      </c>
      <c r="E115" s="135">
        <v>84.79</v>
      </c>
      <c r="F115" s="151"/>
      <c r="G115" s="152"/>
      <c r="H115" s="182">
        <v>0.3</v>
      </c>
      <c r="I115" s="117">
        <v>0.3</v>
      </c>
      <c r="J115" s="117" t="s">
        <v>26</v>
      </c>
      <c r="K115" s="117" t="s">
        <v>26</v>
      </c>
      <c r="L115" s="117">
        <v>0.44999999999999996</v>
      </c>
      <c r="M115" s="135">
        <v>97.8</v>
      </c>
      <c r="N115" s="151"/>
      <c r="O115" s="152"/>
      <c r="P115" s="182">
        <v>0.3</v>
      </c>
      <c r="Q115" s="117">
        <v>0.3</v>
      </c>
      <c r="R115" s="117" t="s">
        <v>26</v>
      </c>
      <c r="S115" s="117" t="s">
        <v>26</v>
      </c>
      <c r="T115" s="117">
        <v>0.65</v>
      </c>
      <c r="U115" s="117">
        <v>11.2</v>
      </c>
      <c r="V115" s="118">
        <v>11.22</v>
      </c>
      <c r="W115" s="153"/>
      <c r="X115" s="153"/>
      <c r="Y115" s="444" t="s">
        <v>26</v>
      </c>
      <c r="Z115" s="117">
        <v>3</v>
      </c>
      <c r="AA115" s="117">
        <v>3</v>
      </c>
      <c r="AB115" s="117">
        <v>3</v>
      </c>
      <c r="AC115" s="117">
        <v>3</v>
      </c>
      <c r="AD115" s="117">
        <v>3</v>
      </c>
      <c r="AE115" s="118">
        <v>3</v>
      </c>
      <c r="AG115" s="2"/>
      <c r="AH115" s="2"/>
      <c r="AJ115" s="400" t="s">
        <v>54</v>
      </c>
      <c r="AK115" s="154">
        <v>26.529999999999998</v>
      </c>
      <c r="AL115" s="156">
        <v>63.059999999999995</v>
      </c>
      <c r="AM115" s="156">
        <v>2.7699999999999996</v>
      </c>
      <c r="AN115" s="431">
        <v>85.09</v>
      </c>
      <c r="AO115" s="151"/>
      <c r="AP115" s="152"/>
      <c r="AQ115" s="173">
        <v>0.39</v>
      </c>
      <c r="AR115" s="117">
        <v>0.39</v>
      </c>
      <c r="AS115" s="432" t="s">
        <v>26</v>
      </c>
      <c r="AT115" s="433" t="s">
        <v>26</v>
      </c>
      <c r="AU115" s="433">
        <v>0.49999999999999994</v>
      </c>
      <c r="AV115" s="434">
        <v>98.1</v>
      </c>
      <c r="AW115" s="151"/>
      <c r="AX115" s="152"/>
      <c r="AY115" s="173">
        <v>0.39</v>
      </c>
      <c r="AZ115" s="117">
        <v>0.39</v>
      </c>
      <c r="BA115" s="432" t="s">
        <v>26</v>
      </c>
      <c r="BB115" s="433" t="s">
        <v>26</v>
      </c>
      <c r="BC115" s="434">
        <v>0.70000000000000007</v>
      </c>
      <c r="BD115" s="435">
        <v>11.2</v>
      </c>
      <c r="BE115" s="436">
        <v>11.22</v>
      </c>
      <c r="BF115" s="403"/>
      <c r="BG115" s="403"/>
      <c r="BH115" s="437" t="s">
        <v>26</v>
      </c>
      <c r="BI115" s="443">
        <v>3</v>
      </c>
      <c r="BJ115" s="435">
        <v>3</v>
      </c>
      <c r="BK115" s="435">
        <v>3</v>
      </c>
      <c r="BL115" s="435">
        <v>3</v>
      </c>
      <c r="BM115" s="435">
        <v>3</v>
      </c>
      <c r="BN115" s="436">
        <v>3</v>
      </c>
    </row>
    <row r="116" spans="1:66" s="57" customFormat="1" ht="15" customHeight="1" x14ac:dyDescent="0.2">
      <c r="A116" s="169" t="s">
        <v>55</v>
      </c>
      <c r="B116" s="150">
        <v>25.529999999999998</v>
      </c>
      <c r="C116" s="117">
        <v>63.5</v>
      </c>
      <c r="D116" s="117">
        <v>2.67</v>
      </c>
      <c r="E116" s="135">
        <v>78.77</v>
      </c>
      <c r="F116" s="151"/>
      <c r="G116" s="152"/>
      <c r="H116" s="182">
        <v>0.3</v>
      </c>
      <c r="I116" s="117">
        <v>0.3</v>
      </c>
      <c r="J116" s="117" t="s">
        <v>26</v>
      </c>
      <c r="K116" s="117" t="s">
        <v>26</v>
      </c>
      <c r="L116" s="117">
        <v>0.44999999999999996</v>
      </c>
      <c r="M116" s="135">
        <v>93.98</v>
      </c>
      <c r="N116" s="151"/>
      <c r="O116" s="152"/>
      <c r="P116" s="182">
        <v>0.3</v>
      </c>
      <c r="Q116" s="117">
        <v>0.3</v>
      </c>
      <c r="R116" s="117" t="s">
        <v>26</v>
      </c>
      <c r="S116" s="117" t="s">
        <v>26</v>
      </c>
      <c r="T116" s="117">
        <v>0.65</v>
      </c>
      <c r="U116" s="117">
        <v>11.19</v>
      </c>
      <c r="V116" s="118">
        <v>11.18</v>
      </c>
      <c r="W116" s="153"/>
      <c r="X116" s="153"/>
      <c r="Y116" s="444" t="s">
        <v>26</v>
      </c>
      <c r="Z116" s="117">
        <v>3</v>
      </c>
      <c r="AA116" s="117">
        <v>3</v>
      </c>
      <c r="AB116" s="117">
        <v>3</v>
      </c>
      <c r="AC116" s="117">
        <v>3</v>
      </c>
      <c r="AD116" s="117">
        <v>3</v>
      </c>
      <c r="AE116" s="118">
        <v>3</v>
      </c>
      <c r="AG116" s="2"/>
      <c r="AH116" s="2"/>
      <c r="AJ116" s="400" t="s">
        <v>55</v>
      </c>
      <c r="AK116" s="154">
        <v>25.529999999999998</v>
      </c>
      <c r="AL116" s="156">
        <v>64</v>
      </c>
      <c r="AM116" s="156">
        <v>2.7199999999999998</v>
      </c>
      <c r="AN116" s="431">
        <v>79.069999999999993</v>
      </c>
      <c r="AO116" s="151"/>
      <c r="AP116" s="152"/>
      <c r="AQ116" s="173">
        <v>0.39</v>
      </c>
      <c r="AR116" s="117">
        <v>0.39</v>
      </c>
      <c r="AS116" s="432" t="s">
        <v>26</v>
      </c>
      <c r="AT116" s="433" t="s">
        <v>26</v>
      </c>
      <c r="AU116" s="433">
        <v>0.49999999999999994</v>
      </c>
      <c r="AV116" s="434">
        <v>94.28</v>
      </c>
      <c r="AW116" s="151"/>
      <c r="AX116" s="152"/>
      <c r="AY116" s="173">
        <v>0.39</v>
      </c>
      <c r="AZ116" s="117">
        <v>0.39</v>
      </c>
      <c r="BA116" s="432" t="s">
        <v>26</v>
      </c>
      <c r="BB116" s="433" t="s">
        <v>26</v>
      </c>
      <c r="BC116" s="434">
        <v>0.70000000000000007</v>
      </c>
      <c r="BD116" s="435">
        <v>11.19</v>
      </c>
      <c r="BE116" s="436">
        <v>11.18</v>
      </c>
      <c r="BF116" s="403"/>
      <c r="BG116" s="403"/>
      <c r="BH116" s="437" t="s">
        <v>26</v>
      </c>
      <c r="BI116" s="443">
        <v>3</v>
      </c>
      <c r="BJ116" s="435">
        <v>3</v>
      </c>
      <c r="BK116" s="435">
        <v>3</v>
      </c>
      <c r="BL116" s="435">
        <v>3</v>
      </c>
      <c r="BM116" s="435">
        <v>3</v>
      </c>
      <c r="BN116" s="436">
        <v>3</v>
      </c>
    </row>
    <row r="117" spans="1:66" s="57" customFormat="1" ht="15" customHeight="1" x14ac:dyDescent="0.2">
      <c r="A117" s="169" t="s">
        <v>56</v>
      </c>
      <c r="B117" s="150">
        <v>24.55</v>
      </c>
      <c r="C117" s="117">
        <v>64.8</v>
      </c>
      <c r="D117" s="117">
        <v>2.62</v>
      </c>
      <c r="E117" s="135">
        <v>71.77</v>
      </c>
      <c r="F117" s="151"/>
      <c r="G117" s="152"/>
      <c r="H117" s="182">
        <v>0.3</v>
      </c>
      <c r="I117" s="117">
        <v>0.3</v>
      </c>
      <c r="J117" s="162" t="s">
        <v>26</v>
      </c>
      <c r="K117" s="162" t="s">
        <v>26</v>
      </c>
      <c r="L117" s="117">
        <v>0.44999999999999996</v>
      </c>
      <c r="M117" s="135">
        <v>89.9</v>
      </c>
      <c r="N117" s="151"/>
      <c r="O117" s="152"/>
      <c r="P117" s="182">
        <v>0.3</v>
      </c>
      <c r="Q117" s="117">
        <v>0.3</v>
      </c>
      <c r="R117" s="117" t="s">
        <v>26</v>
      </c>
      <c r="S117" s="117" t="s">
        <v>26</v>
      </c>
      <c r="T117" s="117">
        <v>0.65</v>
      </c>
      <c r="U117" s="117">
        <v>11.16</v>
      </c>
      <c r="V117" s="135">
        <v>11.14</v>
      </c>
      <c r="W117" s="334">
        <v>2.9380000000000002</v>
      </c>
      <c r="X117" s="335">
        <v>1.837</v>
      </c>
      <c r="Y117" s="182" t="s">
        <v>26</v>
      </c>
      <c r="Z117" s="117">
        <v>3</v>
      </c>
      <c r="AA117" s="117">
        <v>3</v>
      </c>
      <c r="AB117" s="117">
        <v>3</v>
      </c>
      <c r="AC117" s="117">
        <v>3</v>
      </c>
      <c r="AD117" s="117">
        <v>3</v>
      </c>
      <c r="AE117" s="118">
        <v>3</v>
      </c>
      <c r="AG117" s="2"/>
      <c r="AH117" s="2"/>
      <c r="AJ117" s="400" t="s">
        <v>56</v>
      </c>
      <c r="AK117" s="154">
        <v>24.55</v>
      </c>
      <c r="AL117" s="156">
        <v>65.3</v>
      </c>
      <c r="AM117" s="156">
        <v>2.67</v>
      </c>
      <c r="AN117" s="431">
        <v>72.069999999999993</v>
      </c>
      <c r="AO117" s="151"/>
      <c r="AP117" s="152"/>
      <c r="AQ117" s="173">
        <v>0.39</v>
      </c>
      <c r="AR117" s="117">
        <v>0.39</v>
      </c>
      <c r="AS117" s="438" t="s">
        <v>26</v>
      </c>
      <c r="AT117" s="439" t="s">
        <v>26</v>
      </c>
      <c r="AU117" s="433">
        <v>0.49999999999999994</v>
      </c>
      <c r="AV117" s="434">
        <v>90.2</v>
      </c>
      <c r="AW117" s="151"/>
      <c r="AX117" s="152"/>
      <c r="AY117" s="173">
        <v>0.39</v>
      </c>
      <c r="AZ117" s="117">
        <v>0.39</v>
      </c>
      <c r="BA117" s="432" t="s">
        <v>26</v>
      </c>
      <c r="BB117" s="433" t="s">
        <v>26</v>
      </c>
      <c r="BC117" s="434">
        <v>0.70000000000000007</v>
      </c>
      <c r="BD117" s="435">
        <v>11.16</v>
      </c>
      <c r="BE117" s="448">
        <v>11.14</v>
      </c>
      <c r="BF117" s="449">
        <v>2.9380000000000002</v>
      </c>
      <c r="BG117" s="451">
        <v>0.15</v>
      </c>
      <c r="BH117" s="432" t="s">
        <v>26</v>
      </c>
      <c r="BI117" s="443">
        <v>3</v>
      </c>
      <c r="BJ117" s="435">
        <v>3</v>
      </c>
      <c r="BK117" s="435">
        <v>3</v>
      </c>
      <c r="BL117" s="435">
        <v>3</v>
      </c>
      <c r="BM117" s="435">
        <v>3</v>
      </c>
      <c r="BN117" s="436">
        <v>3</v>
      </c>
    </row>
    <row r="118" spans="1:66" s="57" customFormat="1" ht="15" customHeight="1" x14ac:dyDescent="0.2">
      <c r="A118" s="169" t="s">
        <v>57</v>
      </c>
      <c r="B118" s="186">
        <v>23.64</v>
      </c>
      <c r="C118" s="187">
        <v>65.509999999999991</v>
      </c>
      <c r="D118" s="187">
        <v>2.57</v>
      </c>
      <c r="E118" s="452">
        <v>63.870000000000005</v>
      </c>
      <c r="F118" s="151"/>
      <c r="G118" s="152"/>
      <c r="H118" s="192">
        <v>0.3</v>
      </c>
      <c r="I118" s="188">
        <v>0.3</v>
      </c>
      <c r="J118" s="337"/>
      <c r="K118" s="453"/>
      <c r="L118" s="192">
        <v>0.47</v>
      </c>
      <c r="M118" s="188">
        <v>82.820000000000007</v>
      </c>
      <c r="N118" s="151"/>
      <c r="O118" s="152"/>
      <c r="P118" s="192">
        <v>0.3</v>
      </c>
      <c r="Q118" s="187">
        <v>0.3</v>
      </c>
      <c r="R118" s="187" t="s">
        <v>26</v>
      </c>
      <c r="S118" s="187" t="s">
        <v>26</v>
      </c>
      <c r="T118" s="187">
        <v>0.65</v>
      </c>
      <c r="U118" s="187">
        <v>11.11</v>
      </c>
      <c r="V118" s="454">
        <v>11.11</v>
      </c>
      <c r="W118" s="153"/>
      <c r="X118" s="153"/>
      <c r="Y118" s="339" t="s">
        <v>26</v>
      </c>
      <c r="Z118" s="117">
        <v>3</v>
      </c>
      <c r="AA118" s="117">
        <v>3</v>
      </c>
      <c r="AB118" s="117">
        <v>3</v>
      </c>
      <c r="AC118" s="117">
        <v>3</v>
      </c>
      <c r="AD118" s="117">
        <v>3</v>
      </c>
      <c r="AE118" s="118">
        <v>3</v>
      </c>
      <c r="AG118" s="2"/>
      <c r="AH118" s="2"/>
      <c r="AJ118" s="405" t="s">
        <v>57</v>
      </c>
      <c r="AK118" s="205">
        <v>23.64</v>
      </c>
      <c r="AL118" s="206">
        <v>66.009999999999991</v>
      </c>
      <c r="AM118" s="206">
        <v>2.6199999999999997</v>
      </c>
      <c r="AN118" s="455">
        <v>64.17</v>
      </c>
      <c r="AO118" s="151"/>
      <c r="AP118" s="152"/>
      <c r="AQ118" s="336">
        <v>0.39</v>
      </c>
      <c r="AR118" s="456">
        <v>0.39</v>
      </c>
      <c r="AS118" s="457"/>
      <c r="AT118" s="458"/>
      <c r="AU118" s="459">
        <v>0.52</v>
      </c>
      <c r="AV118" s="460">
        <v>83.12</v>
      </c>
      <c r="AW118" s="151"/>
      <c r="AX118" s="152"/>
      <c r="AY118" s="336">
        <v>0.39</v>
      </c>
      <c r="AZ118" s="461">
        <v>0.39</v>
      </c>
      <c r="BA118" s="459" t="s">
        <v>26</v>
      </c>
      <c r="BB118" s="462" t="s">
        <v>26</v>
      </c>
      <c r="BC118" s="460">
        <v>0.70000000000000007</v>
      </c>
      <c r="BD118" s="463">
        <v>11.11</v>
      </c>
      <c r="BE118" s="464">
        <v>11.11</v>
      </c>
      <c r="BF118" s="457"/>
      <c r="BG118" s="458"/>
      <c r="BH118" s="465" t="s">
        <v>26</v>
      </c>
      <c r="BI118" s="443">
        <v>3</v>
      </c>
      <c r="BJ118" s="435">
        <v>3</v>
      </c>
      <c r="BK118" s="435">
        <v>3</v>
      </c>
      <c r="BL118" s="435">
        <v>3</v>
      </c>
      <c r="BM118" s="435">
        <v>3</v>
      </c>
      <c r="BN118" s="436">
        <v>3</v>
      </c>
    </row>
    <row r="119" spans="1:66" s="57" customFormat="1" ht="15" customHeight="1" x14ac:dyDescent="0.2">
      <c r="A119" s="341" t="s">
        <v>58</v>
      </c>
      <c r="B119" s="77"/>
      <c r="O119" s="77"/>
      <c r="P119" s="77"/>
      <c r="Q119" s="77"/>
      <c r="R119" s="77"/>
      <c r="Z119" s="336">
        <v>3</v>
      </c>
      <c r="AA119" s="461">
        <v>3</v>
      </c>
      <c r="AB119" s="461">
        <v>3</v>
      </c>
      <c r="AC119" s="461">
        <v>3</v>
      </c>
      <c r="AD119" s="461">
        <v>3</v>
      </c>
      <c r="AE119" s="195">
        <v>3</v>
      </c>
      <c r="AG119" s="208"/>
      <c r="AJ119" s="341" t="s">
        <v>58</v>
      </c>
      <c r="AM119" s="2"/>
      <c r="AN119" s="2"/>
      <c r="AR119" s="85"/>
      <c r="AT119" s="85"/>
      <c r="BI119" s="466">
        <v>3</v>
      </c>
      <c r="BJ119" s="463">
        <v>3</v>
      </c>
      <c r="BK119" s="463">
        <v>3</v>
      </c>
      <c r="BL119" s="463">
        <v>3</v>
      </c>
      <c r="BM119" s="463">
        <v>3</v>
      </c>
      <c r="BN119" s="464">
        <v>3</v>
      </c>
    </row>
    <row r="120" spans="1:66" s="57" customFormat="1" ht="15" customHeight="1" x14ac:dyDescent="0.25">
      <c r="B120" s="467" t="s">
        <v>59</v>
      </c>
      <c r="C120" s="467"/>
      <c r="D120" s="467"/>
      <c r="E120" s="467"/>
      <c r="F120" s="467" t="s">
        <v>60</v>
      </c>
      <c r="G120" s="467"/>
      <c r="H120" s="467"/>
      <c r="I120" s="468" t="s">
        <v>61</v>
      </c>
      <c r="J120" s="345"/>
      <c r="K120" s="346"/>
      <c r="L120" s="346"/>
      <c r="M120" s="346"/>
      <c r="N120" s="346"/>
      <c r="O120" s="346"/>
      <c r="P120" s="346"/>
      <c r="Q120" s="346"/>
      <c r="S120" s="213" t="s">
        <v>64</v>
      </c>
      <c r="W120" s="213" t="s">
        <v>65</v>
      </c>
      <c r="AA120" s="213" t="s">
        <v>66</v>
      </c>
      <c r="AC120" s="213"/>
      <c r="AK120" s="467" t="s">
        <v>59</v>
      </c>
      <c r="AL120" s="467"/>
      <c r="AM120" s="467"/>
      <c r="AN120" s="467"/>
      <c r="AO120" s="467" t="s">
        <v>60</v>
      </c>
      <c r="AP120" s="467"/>
      <c r="AQ120" s="467"/>
      <c r="AR120" s="468" t="s">
        <v>61</v>
      </c>
      <c r="AS120" s="345"/>
      <c r="AT120" s="346"/>
      <c r="AU120" s="346"/>
      <c r="AV120" s="346"/>
      <c r="AW120" s="346"/>
      <c r="AX120" s="346"/>
      <c r="AY120" s="346"/>
      <c r="AZ120" s="346"/>
      <c r="BB120" s="213" t="s">
        <v>64</v>
      </c>
      <c r="BF120" s="213" t="s">
        <v>65</v>
      </c>
      <c r="BJ120" s="213" t="s">
        <v>66</v>
      </c>
      <c r="BL120" s="213"/>
    </row>
    <row r="121" spans="1:66" s="57" customFormat="1" ht="15" customHeight="1" x14ac:dyDescent="0.25">
      <c r="B121" s="217" t="s">
        <v>68</v>
      </c>
      <c r="C121" s="218"/>
      <c r="D121" s="218"/>
      <c r="E121" s="219"/>
      <c r="F121" s="220" t="s">
        <v>69</v>
      </c>
      <c r="G121" s="221"/>
      <c r="H121" s="222"/>
      <c r="I121" s="347" t="s">
        <v>70</v>
      </c>
      <c r="J121" s="348"/>
      <c r="K121" s="262"/>
      <c r="L121" s="262"/>
      <c r="M121" s="262"/>
      <c r="N121" s="262"/>
      <c r="O121" s="262"/>
      <c r="P121" s="262"/>
      <c r="Q121" s="262"/>
      <c r="S121" s="228">
        <v>0.5</v>
      </c>
      <c r="T121" s="228">
        <v>0.5</v>
      </c>
      <c r="U121" s="229"/>
      <c r="V121" s="228">
        <v>2</v>
      </c>
      <c r="W121" s="228">
        <v>1</v>
      </c>
      <c r="X121" s="228">
        <v>1</v>
      </c>
      <c r="Y121" s="230"/>
      <c r="Z121" s="228">
        <v>2</v>
      </c>
      <c r="AA121" s="228">
        <v>1</v>
      </c>
      <c r="AB121" s="228">
        <v>1</v>
      </c>
      <c r="AC121" s="229"/>
      <c r="AD121" s="229"/>
      <c r="AK121" s="217" t="s">
        <v>90</v>
      </c>
      <c r="AL121" s="218"/>
      <c r="AM121" s="218"/>
      <c r="AN121" s="219"/>
      <c r="AO121" s="220" t="s">
        <v>69</v>
      </c>
      <c r="AP121" s="221"/>
      <c r="AQ121" s="222"/>
      <c r="AR121" s="347" t="s">
        <v>70</v>
      </c>
      <c r="AS121" s="348" t="s">
        <v>101</v>
      </c>
      <c r="AT121" s="262"/>
      <c r="AU121" s="262"/>
      <c r="AV121" s="262"/>
      <c r="AW121" s="262"/>
      <c r="AX121" s="262"/>
      <c r="AY121" s="262"/>
      <c r="AZ121" s="262"/>
      <c r="BB121" s="228">
        <v>1000</v>
      </c>
      <c r="BC121" s="228">
        <v>1000</v>
      </c>
      <c r="BD121" s="229"/>
      <c r="BE121" s="469">
        <v>2</v>
      </c>
      <c r="BF121" s="469">
        <v>1</v>
      </c>
      <c r="BG121" s="469">
        <v>1</v>
      </c>
      <c r="BH121" s="230"/>
      <c r="BI121" s="469">
        <v>2</v>
      </c>
      <c r="BJ121" s="469">
        <v>1</v>
      </c>
      <c r="BK121" s="469">
        <v>1</v>
      </c>
      <c r="BL121" s="229"/>
    </row>
    <row r="122" spans="1:66" s="57" customFormat="1" ht="15" customHeight="1" x14ac:dyDescent="0.25">
      <c r="B122" s="235" t="s">
        <v>42</v>
      </c>
      <c r="C122" s="236" t="s">
        <v>48</v>
      </c>
      <c r="D122" s="236" t="s">
        <v>51</v>
      </c>
      <c r="E122" s="237" t="s">
        <v>53</v>
      </c>
      <c r="F122" s="238">
        <v>0.8</v>
      </c>
      <c r="G122" s="239" t="s">
        <v>73</v>
      </c>
      <c r="H122" s="240">
        <v>0.8</v>
      </c>
      <c r="I122" s="470">
        <v>580</v>
      </c>
      <c r="J122" s="348"/>
      <c r="K122" s="262"/>
      <c r="L122" s="262"/>
      <c r="M122" s="262"/>
      <c r="N122" s="262"/>
      <c r="O122" s="262"/>
      <c r="P122" s="262"/>
      <c r="Q122" s="262"/>
      <c r="S122" s="246"/>
      <c r="T122" s="229"/>
      <c r="U122" s="229"/>
      <c r="X122" s="229"/>
      <c r="Y122" s="229"/>
      <c r="Z122" s="229"/>
      <c r="AC122" s="229"/>
      <c r="AD122" s="229"/>
      <c r="AK122" s="235" t="s">
        <v>34</v>
      </c>
      <c r="AL122" s="236" t="s">
        <v>42</v>
      </c>
      <c r="AM122" s="236" t="s">
        <v>48</v>
      </c>
      <c r="AN122" s="237" t="s">
        <v>55</v>
      </c>
      <c r="AO122" s="471">
        <v>0.8</v>
      </c>
      <c r="AP122" s="239" t="s">
        <v>73</v>
      </c>
      <c r="AQ122" s="472">
        <v>0.8</v>
      </c>
      <c r="AR122" s="473">
        <v>580</v>
      </c>
      <c r="AS122" s="348" t="s">
        <v>101</v>
      </c>
      <c r="AT122" s="262"/>
      <c r="AU122" s="262"/>
      <c r="AV122" s="262"/>
      <c r="AW122" s="262"/>
      <c r="AX122" s="262"/>
      <c r="AY122" s="262"/>
      <c r="AZ122" s="262"/>
      <c r="BB122" s="246"/>
      <c r="BC122" s="229"/>
      <c r="BD122" s="229"/>
      <c r="BG122" s="229"/>
      <c r="BH122" s="229"/>
      <c r="BI122" s="229"/>
      <c r="BL122" s="229"/>
    </row>
    <row r="123" spans="1:66" ht="11.25" customHeight="1" x14ac:dyDescent="0.2">
      <c r="B123" s="350">
        <v>10</v>
      </c>
      <c r="C123" s="351">
        <v>10</v>
      </c>
      <c r="D123" s="351">
        <v>10</v>
      </c>
      <c r="E123" s="352">
        <v>10</v>
      </c>
      <c r="F123" s="474" t="s">
        <v>101</v>
      </c>
      <c r="G123" s="475"/>
      <c r="H123" s="476" t="s">
        <v>101</v>
      </c>
      <c r="I123" s="353" t="s">
        <v>101</v>
      </c>
      <c r="J123" s="348"/>
      <c r="K123" s="262"/>
      <c r="L123" s="262"/>
      <c r="M123" s="262"/>
      <c r="N123" s="262"/>
      <c r="O123" s="262"/>
      <c r="P123" s="262"/>
      <c r="Q123" s="262"/>
      <c r="AC123" s="262"/>
      <c r="AD123" s="262"/>
      <c r="AE123" s="262"/>
      <c r="AK123" s="477">
        <v>10</v>
      </c>
      <c r="AL123" s="478">
        <v>10</v>
      </c>
      <c r="AM123" s="478">
        <v>10</v>
      </c>
      <c r="AN123" s="479">
        <v>10</v>
      </c>
      <c r="AO123" s="480" t="s">
        <v>101</v>
      </c>
      <c r="AP123" s="475"/>
      <c r="AQ123" s="481" t="s">
        <v>101</v>
      </c>
      <c r="AR123" s="482" t="s">
        <v>101</v>
      </c>
      <c r="AS123" s="348" t="s">
        <v>101</v>
      </c>
      <c r="AT123" s="262"/>
      <c r="AU123" s="262"/>
      <c r="AV123" s="262"/>
      <c r="AW123" s="262"/>
      <c r="AX123" s="262"/>
      <c r="AY123" s="262"/>
      <c r="AZ123" s="262"/>
      <c r="BL123" s="262"/>
    </row>
    <row r="124" spans="1:66" ht="30" customHeight="1" x14ac:dyDescent="0.2">
      <c r="B124" s="228" t="s">
        <v>257</v>
      </c>
      <c r="C124" s="228">
        <v>10</v>
      </c>
      <c r="D124" s="228" t="s">
        <v>258</v>
      </c>
      <c r="E124" s="228">
        <v>10</v>
      </c>
      <c r="AG124" s="57"/>
      <c r="AK124" s="483" t="s">
        <v>257</v>
      </c>
      <c r="AL124" s="441">
        <v>1.05</v>
      </c>
      <c r="AM124" s="484" t="s">
        <v>258</v>
      </c>
      <c r="AN124" s="485">
        <v>3.2</v>
      </c>
    </row>
    <row r="125" spans="1:66" s="57" customFormat="1" ht="15" customHeight="1" x14ac:dyDescent="0.2">
      <c r="B125" s="486" t="s">
        <v>91</v>
      </c>
      <c r="C125" s="487"/>
      <c r="D125" s="487"/>
      <c r="E125" s="487"/>
      <c r="F125" s="487"/>
      <c r="G125" s="487"/>
      <c r="H125" s="487"/>
      <c r="I125" s="487"/>
      <c r="J125" s="487"/>
      <c r="K125" s="487"/>
      <c r="L125" s="487"/>
      <c r="M125" s="487"/>
      <c r="N125" s="487"/>
      <c r="O125" s="487"/>
      <c r="P125" s="487"/>
      <c r="Q125" s="487"/>
      <c r="R125" s="487"/>
      <c r="S125" s="487"/>
      <c r="T125" s="487"/>
      <c r="U125" s="487"/>
      <c r="V125" s="487"/>
      <c r="W125" s="487"/>
      <c r="X125" s="487"/>
      <c r="Y125" s="487"/>
      <c r="Z125" s="487"/>
      <c r="AA125" s="487"/>
      <c r="AB125" s="487"/>
      <c r="AC125" s="487"/>
      <c r="AD125" s="487"/>
      <c r="AE125" s="488"/>
      <c r="AF125" s="2"/>
      <c r="AH125" s="2"/>
      <c r="AI125" s="2"/>
      <c r="AJ125" s="489"/>
      <c r="AK125" s="490" t="s">
        <v>92</v>
      </c>
      <c r="AL125" s="490"/>
      <c r="AM125" s="490"/>
      <c r="AN125" s="490"/>
      <c r="AO125" s="490"/>
      <c r="AP125" s="490"/>
      <c r="AQ125" s="490"/>
      <c r="AR125" s="490"/>
      <c r="AS125" s="490"/>
      <c r="AT125" s="490"/>
      <c r="AU125" s="490"/>
      <c r="AV125" s="490"/>
      <c r="AW125" s="490"/>
      <c r="AX125" s="490"/>
      <c r="AY125" s="490"/>
      <c r="AZ125" s="490"/>
      <c r="BA125" s="490"/>
      <c r="BB125" s="490"/>
      <c r="BC125" s="490"/>
      <c r="BD125" s="490"/>
      <c r="BE125" s="490"/>
      <c r="BF125" s="490"/>
      <c r="BG125" s="490"/>
      <c r="BH125" s="490"/>
      <c r="BI125" s="490"/>
      <c r="BJ125" s="490"/>
      <c r="BK125" s="490"/>
      <c r="BL125" s="490"/>
      <c r="BM125" s="490"/>
      <c r="BN125" s="491"/>
    </row>
    <row r="126" spans="1:66" ht="60" customHeight="1" x14ac:dyDescent="0.2">
      <c r="A126" s="492"/>
      <c r="B126" s="493" t="s">
        <v>108</v>
      </c>
      <c r="C126" s="271" t="s">
        <v>109</v>
      </c>
      <c r="D126" s="271" t="s">
        <v>110</v>
      </c>
      <c r="E126" s="271" t="s">
        <v>111</v>
      </c>
      <c r="F126" s="362" t="s">
        <v>112</v>
      </c>
      <c r="G126" s="363"/>
      <c r="H126" s="364" t="s">
        <v>113</v>
      </c>
      <c r="I126" s="364" t="s">
        <v>114</v>
      </c>
      <c r="J126" s="271" t="s">
        <v>82</v>
      </c>
      <c r="K126" s="271" t="s">
        <v>83</v>
      </c>
      <c r="L126" s="271" t="s">
        <v>115</v>
      </c>
      <c r="M126" s="271" t="s">
        <v>116</v>
      </c>
      <c r="N126" s="362" t="s">
        <v>117</v>
      </c>
      <c r="O126" s="363"/>
      <c r="P126" s="364" t="s">
        <v>118</v>
      </c>
      <c r="Q126" s="364" t="s">
        <v>119</v>
      </c>
      <c r="R126" s="271" t="s">
        <v>84</v>
      </c>
      <c r="S126" s="271" t="s">
        <v>85</v>
      </c>
      <c r="T126" s="271" t="s">
        <v>120</v>
      </c>
      <c r="U126" s="494" t="s">
        <v>121</v>
      </c>
      <c r="V126" s="494" t="s">
        <v>122</v>
      </c>
      <c r="W126" s="271" t="s">
        <v>123</v>
      </c>
      <c r="X126" s="271" t="s">
        <v>124</v>
      </c>
      <c r="Y126" s="276" t="s">
        <v>86</v>
      </c>
      <c r="Z126" s="276" t="s">
        <v>125</v>
      </c>
      <c r="AA126" s="277" t="s">
        <v>126</v>
      </c>
      <c r="AB126" s="276" t="s">
        <v>127</v>
      </c>
      <c r="AC126" s="276" t="s">
        <v>128</v>
      </c>
      <c r="AD126" s="277" t="s">
        <v>129</v>
      </c>
      <c r="AE126" s="276" t="s">
        <v>130</v>
      </c>
      <c r="AJ126" s="495"/>
      <c r="AK126" s="369" t="s">
        <v>108</v>
      </c>
      <c r="AL126" s="369" t="s">
        <v>109</v>
      </c>
      <c r="AM126" s="370" t="s">
        <v>110</v>
      </c>
      <c r="AN126" s="496" t="s">
        <v>111</v>
      </c>
      <c r="AO126" s="497" t="s">
        <v>112</v>
      </c>
      <c r="AP126" s="498"/>
      <c r="AQ126" s="374" t="s">
        <v>113</v>
      </c>
      <c r="AR126" s="499" t="s">
        <v>114</v>
      </c>
      <c r="AS126" s="500" t="s">
        <v>82</v>
      </c>
      <c r="AT126" s="500" t="s">
        <v>83</v>
      </c>
      <c r="AU126" s="496" t="s">
        <v>115</v>
      </c>
      <c r="AV126" s="501" t="s">
        <v>116</v>
      </c>
      <c r="AW126" s="502" t="s">
        <v>117</v>
      </c>
      <c r="AX126" s="503"/>
      <c r="AY126" s="504" t="s">
        <v>118</v>
      </c>
      <c r="AZ126" s="504" t="s">
        <v>119</v>
      </c>
      <c r="BA126" s="505" t="s">
        <v>84</v>
      </c>
      <c r="BB126" s="505" t="s">
        <v>85</v>
      </c>
      <c r="BC126" s="506" t="s">
        <v>120</v>
      </c>
      <c r="BD126" s="507" t="s">
        <v>121</v>
      </c>
      <c r="BE126" s="508" t="s">
        <v>122</v>
      </c>
      <c r="BF126" s="382" t="s">
        <v>123</v>
      </c>
      <c r="BG126" s="509" t="s">
        <v>124</v>
      </c>
      <c r="BH126" s="510" t="s">
        <v>86</v>
      </c>
      <c r="BI126" s="385" t="s">
        <v>125</v>
      </c>
      <c r="BJ126" s="386" t="s">
        <v>126</v>
      </c>
      <c r="BK126" s="385" t="s">
        <v>127</v>
      </c>
      <c r="BL126" s="385" t="s">
        <v>128</v>
      </c>
      <c r="BM126" s="386" t="s">
        <v>129</v>
      </c>
      <c r="BN126" s="385" t="s">
        <v>130</v>
      </c>
    </row>
    <row r="127" spans="1:66" s="57" customFormat="1" ht="15" customHeight="1" x14ac:dyDescent="0.2">
      <c r="A127" s="296" t="s">
        <v>28</v>
      </c>
      <c r="B127" s="337"/>
      <c r="C127" s="77"/>
      <c r="D127" s="77"/>
      <c r="E127" s="77"/>
      <c r="F127" s="78">
        <v>-1.2</v>
      </c>
      <c r="G127" s="79"/>
      <c r="H127" s="309">
        <v>-0.2</v>
      </c>
      <c r="I127" s="316">
        <v>-0.2</v>
      </c>
      <c r="J127" s="77"/>
      <c r="K127" s="77"/>
      <c r="L127" s="77"/>
      <c r="M127" s="77"/>
      <c r="N127" s="78">
        <v>-1.2</v>
      </c>
      <c r="O127" s="79"/>
      <c r="P127" s="309">
        <v>-0.2</v>
      </c>
      <c r="Q127" s="316">
        <v>-0.2</v>
      </c>
      <c r="R127" s="77"/>
      <c r="S127" s="77"/>
      <c r="T127" s="77"/>
      <c r="U127" s="77"/>
      <c r="V127" s="77"/>
      <c r="W127" s="77"/>
      <c r="X127" s="77"/>
      <c r="Y127" s="77"/>
      <c r="Z127" s="83"/>
      <c r="AA127" s="83"/>
      <c r="AB127" s="83"/>
      <c r="AC127" s="83"/>
      <c r="AD127" s="83"/>
      <c r="AE127" s="83"/>
      <c r="AG127" s="2"/>
      <c r="AH127" s="2"/>
      <c r="AJ127" s="387" t="s">
        <v>28</v>
      </c>
      <c r="AK127" s="286"/>
      <c r="AL127" s="511"/>
      <c r="AM127" s="511"/>
      <c r="AN127" s="399" t="s">
        <v>101</v>
      </c>
      <c r="AO127" s="78">
        <v>0</v>
      </c>
      <c r="AP127" s="79"/>
      <c r="AQ127" s="309">
        <v>-0.2</v>
      </c>
      <c r="AR127" s="316">
        <v>-0.2</v>
      </c>
      <c r="AS127" s="395"/>
      <c r="AT127" s="395"/>
      <c r="AU127" s="403"/>
      <c r="AV127" s="512"/>
      <c r="AW127" s="78">
        <v>0</v>
      </c>
      <c r="AX127" s="79"/>
      <c r="AY127" s="309">
        <v>-0.2</v>
      </c>
      <c r="AZ127" s="316">
        <v>-0.2</v>
      </c>
      <c r="BA127" s="395"/>
      <c r="BB127" s="395"/>
      <c r="BC127" s="403"/>
      <c r="BD127" s="513"/>
      <c r="BE127" s="513"/>
      <c r="BF127" s="514"/>
      <c r="BG127" s="514"/>
      <c r="BH127" s="514"/>
      <c r="BI127" s="399"/>
      <c r="BJ127" s="399"/>
      <c r="BK127" s="399"/>
      <c r="BL127" s="399"/>
      <c r="BM127" s="399"/>
      <c r="BN127" s="399"/>
    </row>
    <row r="128" spans="1:66" s="57" customFormat="1" ht="15" customHeight="1" x14ac:dyDescent="0.2">
      <c r="A128" s="169" t="s">
        <v>29</v>
      </c>
      <c r="B128" s="76"/>
      <c r="C128" s="77"/>
      <c r="D128" s="77"/>
      <c r="E128" s="77"/>
      <c r="F128" s="99">
        <v>-1.2</v>
      </c>
      <c r="G128" s="100"/>
      <c r="H128" s="117">
        <v>-0.2</v>
      </c>
      <c r="I128" s="118">
        <v>-0.2</v>
      </c>
      <c r="J128" s="77"/>
      <c r="K128" s="77"/>
      <c r="L128" s="77"/>
      <c r="M128" s="77"/>
      <c r="N128" s="99">
        <v>-1.2</v>
      </c>
      <c r="O128" s="100"/>
      <c r="P128" s="117">
        <v>-0.2</v>
      </c>
      <c r="Q128" s="118">
        <v>-0.2</v>
      </c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G128" s="2"/>
      <c r="AH128" s="2"/>
      <c r="AJ128" s="400" t="s">
        <v>29</v>
      </c>
      <c r="AK128" s="294"/>
      <c r="AL128" s="85"/>
      <c r="AM128" s="85"/>
      <c r="AN128" s="399" t="s">
        <v>101</v>
      </c>
      <c r="AO128" s="99">
        <v>0</v>
      </c>
      <c r="AP128" s="100"/>
      <c r="AQ128" s="101">
        <v>-0.2</v>
      </c>
      <c r="AR128" s="102">
        <v>-0.2</v>
      </c>
      <c r="AS128" s="395"/>
      <c r="AT128" s="395"/>
      <c r="AU128" s="403"/>
      <c r="AV128" s="512"/>
      <c r="AW128" s="99">
        <v>0</v>
      </c>
      <c r="AX128" s="100"/>
      <c r="AY128" s="101">
        <v>-0.2</v>
      </c>
      <c r="AZ128" s="102">
        <v>-0.2</v>
      </c>
      <c r="BA128" s="395"/>
      <c r="BB128" s="395"/>
      <c r="BC128" s="403"/>
      <c r="BD128" s="515"/>
      <c r="BE128" s="515"/>
      <c r="BF128" s="403"/>
      <c r="BG128" s="403"/>
      <c r="BH128" s="403"/>
      <c r="BI128" s="399"/>
      <c r="BJ128" s="399"/>
      <c r="BK128" s="399"/>
      <c r="BL128" s="399"/>
      <c r="BM128" s="399"/>
      <c r="BN128" s="399"/>
    </row>
    <row r="129" spans="1:66" s="57" customFormat="1" ht="15" customHeight="1" x14ac:dyDescent="0.2">
      <c r="A129" s="299" t="s">
        <v>30</v>
      </c>
      <c r="B129" s="76"/>
      <c r="C129" s="77"/>
      <c r="D129" s="77"/>
      <c r="E129" s="77"/>
      <c r="F129" s="115">
        <v>0</v>
      </c>
      <c r="G129" s="116"/>
      <c r="H129" s="117">
        <v>-0.2</v>
      </c>
      <c r="I129" s="118">
        <v>-0.2</v>
      </c>
      <c r="J129" s="77"/>
      <c r="K129" s="77"/>
      <c r="L129" s="77"/>
      <c r="M129" s="77"/>
      <c r="N129" s="115">
        <v>0</v>
      </c>
      <c r="O129" s="116"/>
      <c r="P129" s="117">
        <v>-0.2</v>
      </c>
      <c r="Q129" s="118">
        <v>-0.2</v>
      </c>
      <c r="R129" s="77"/>
      <c r="S129" s="77"/>
      <c r="T129" s="77"/>
      <c r="U129" s="301"/>
      <c r="V129" s="301"/>
      <c r="W129" s="77"/>
      <c r="X129" s="77"/>
      <c r="Y129" s="77"/>
      <c r="Z129" s="516"/>
      <c r="AA129" s="77"/>
      <c r="AB129" s="77"/>
      <c r="AC129" s="77"/>
      <c r="AD129" s="77"/>
      <c r="AE129" s="516"/>
      <c r="AG129" s="2"/>
      <c r="AH129" s="2"/>
      <c r="AJ129" s="405" t="s">
        <v>30</v>
      </c>
      <c r="AK129" s="517"/>
      <c r="AL129" s="518"/>
      <c r="AM129" s="518"/>
      <c r="AN129" s="399" t="s">
        <v>101</v>
      </c>
      <c r="AO129" s="115">
        <v>0</v>
      </c>
      <c r="AP129" s="116"/>
      <c r="AQ129" s="117">
        <v>-0.2</v>
      </c>
      <c r="AR129" s="118">
        <v>-0.2</v>
      </c>
      <c r="AS129" s="395"/>
      <c r="AT129" s="395"/>
      <c r="AU129" s="403"/>
      <c r="AV129" s="512"/>
      <c r="AW129" s="115">
        <v>0</v>
      </c>
      <c r="AX129" s="116"/>
      <c r="AY129" s="117">
        <v>-0.2</v>
      </c>
      <c r="AZ129" s="118">
        <v>-0.2</v>
      </c>
      <c r="BA129" s="395"/>
      <c r="BB129" s="395"/>
      <c r="BC129" s="403"/>
      <c r="BD129" s="519"/>
      <c r="BE129" s="519"/>
      <c r="BF129" s="520"/>
      <c r="BG129" s="403"/>
      <c r="BH129" s="403"/>
      <c r="BI129" s="399"/>
      <c r="BJ129" s="399"/>
      <c r="BK129" s="399"/>
      <c r="BL129" s="399"/>
      <c r="BM129" s="399"/>
      <c r="BN129" s="399"/>
    </row>
    <row r="130" spans="1:66" s="57" customFormat="1" ht="15" customHeight="1" x14ac:dyDescent="0.2">
      <c r="A130" s="169" t="s">
        <v>31</v>
      </c>
      <c r="B130" s="127">
        <v>3.45</v>
      </c>
      <c r="C130" s="128">
        <v>28.15</v>
      </c>
      <c r="D130" s="128">
        <v>6.04</v>
      </c>
      <c r="E130" s="129">
        <v>53.269999999999996</v>
      </c>
      <c r="F130" s="413"/>
      <c r="G130" s="414"/>
      <c r="H130" s="307">
        <v>-0.2</v>
      </c>
      <c r="I130" s="305">
        <v>-0.2</v>
      </c>
      <c r="J130" s="128" t="s">
        <v>26</v>
      </c>
      <c r="K130" s="128" t="s">
        <v>26</v>
      </c>
      <c r="L130" s="128">
        <v>0.19999999999999998</v>
      </c>
      <c r="M130" s="129">
        <v>45.919999999999995</v>
      </c>
      <c r="N130" s="413"/>
      <c r="O130" s="414"/>
      <c r="P130" s="307">
        <v>-0.2</v>
      </c>
      <c r="Q130" s="305">
        <v>-0.2</v>
      </c>
      <c r="R130" s="128" t="s">
        <v>26</v>
      </c>
      <c r="S130" s="128" t="s">
        <v>26</v>
      </c>
      <c r="T130" s="128">
        <v>0.1</v>
      </c>
      <c r="U130" s="128">
        <v>0.48</v>
      </c>
      <c r="V130" s="129">
        <v>0.48</v>
      </c>
      <c r="W130" s="521">
        <v>0</v>
      </c>
      <c r="X130" s="137"/>
      <c r="Y130" s="312"/>
      <c r="Z130" s="522">
        <v>0.48</v>
      </c>
      <c r="AA130" s="128">
        <v>0.48</v>
      </c>
      <c r="AB130" s="128">
        <v>-10</v>
      </c>
      <c r="AC130" s="128">
        <v>0.48</v>
      </c>
      <c r="AD130" s="128">
        <v>0.48</v>
      </c>
      <c r="AE130" s="523">
        <v>-10</v>
      </c>
      <c r="AG130" s="2"/>
      <c r="AH130" s="2"/>
      <c r="AJ130" s="400" t="s">
        <v>31</v>
      </c>
      <c r="AK130" s="170">
        <v>3.3000000000000003</v>
      </c>
      <c r="AL130" s="309">
        <v>27.65</v>
      </c>
      <c r="AM130" s="309">
        <v>5.94</v>
      </c>
      <c r="AN130" s="430">
        <v>53.269999999999996</v>
      </c>
      <c r="AO130" s="306"/>
      <c r="AP130" s="425"/>
      <c r="AQ130" s="173">
        <v>-0.2</v>
      </c>
      <c r="AR130" s="117">
        <v>-0.2</v>
      </c>
      <c r="AS130" s="422" t="s">
        <v>26</v>
      </c>
      <c r="AT130" s="423" t="s">
        <v>26</v>
      </c>
      <c r="AU130" s="524">
        <v>0.19999999999999998</v>
      </c>
      <c r="AV130" s="525">
        <v>45.919999999999995</v>
      </c>
      <c r="AW130" s="413"/>
      <c r="AX130" s="414"/>
      <c r="AY130" s="173">
        <v>-0.2</v>
      </c>
      <c r="AZ130" s="117">
        <v>-0.2</v>
      </c>
      <c r="BA130" s="422" t="s">
        <v>26</v>
      </c>
      <c r="BB130" s="423" t="s">
        <v>26</v>
      </c>
      <c r="BC130" s="524">
        <v>0.1</v>
      </c>
      <c r="BD130" s="526">
        <v>0.48</v>
      </c>
      <c r="BE130" s="527">
        <v>0.48</v>
      </c>
      <c r="BF130" s="428">
        <v>0</v>
      </c>
      <c r="BG130" s="403"/>
      <c r="BH130" s="403"/>
      <c r="BI130" s="429">
        <v>0.48</v>
      </c>
      <c r="BJ130" s="426">
        <v>0.48</v>
      </c>
      <c r="BK130" s="426">
        <v>-10</v>
      </c>
      <c r="BL130" s="426">
        <v>0.48</v>
      </c>
      <c r="BM130" s="426">
        <v>0.48</v>
      </c>
      <c r="BN130" s="430">
        <v>-10</v>
      </c>
    </row>
    <row r="131" spans="1:66" s="57" customFormat="1" ht="15" customHeight="1" x14ac:dyDescent="0.2">
      <c r="A131" s="169" t="s">
        <v>32</v>
      </c>
      <c r="B131" s="150">
        <v>3.6900000000000004</v>
      </c>
      <c r="C131" s="117">
        <v>29.68</v>
      </c>
      <c r="D131" s="117">
        <v>5.36</v>
      </c>
      <c r="E131" s="135">
        <v>55.709999999999994</v>
      </c>
      <c r="F131" s="151"/>
      <c r="G131" s="152"/>
      <c r="H131" s="182">
        <v>-0.2</v>
      </c>
      <c r="I131" s="117">
        <v>-0.2</v>
      </c>
      <c r="J131" s="117" t="s">
        <v>26</v>
      </c>
      <c r="K131" s="117" t="s">
        <v>26</v>
      </c>
      <c r="L131" s="117">
        <v>0.19999999999999998</v>
      </c>
      <c r="M131" s="135">
        <v>45.79</v>
      </c>
      <c r="N131" s="151"/>
      <c r="O131" s="152"/>
      <c r="P131" s="182">
        <v>-0.2</v>
      </c>
      <c r="Q131" s="117">
        <v>-0.2</v>
      </c>
      <c r="R131" s="117" t="s">
        <v>26</v>
      </c>
      <c r="S131" s="117" t="s">
        <v>26</v>
      </c>
      <c r="T131" s="117">
        <v>0.1</v>
      </c>
      <c r="U131" s="117">
        <v>0.65</v>
      </c>
      <c r="V131" s="118">
        <v>0.64</v>
      </c>
      <c r="W131" s="153"/>
      <c r="X131" s="153"/>
      <c r="Y131" s="312"/>
      <c r="Z131" s="173">
        <v>0.65</v>
      </c>
      <c r="AA131" s="117">
        <v>0.65</v>
      </c>
      <c r="AB131" s="117">
        <v>-10</v>
      </c>
      <c r="AC131" s="117">
        <v>0.64</v>
      </c>
      <c r="AD131" s="117">
        <v>0.64</v>
      </c>
      <c r="AE131" s="118">
        <v>-10</v>
      </c>
      <c r="AG131" s="2"/>
      <c r="AH131" s="2"/>
      <c r="AJ131" s="400" t="s">
        <v>32</v>
      </c>
      <c r="AK131" s="154">
        <v>3.5400000000000005</v>
      </c>
      <c r="AL131" s="156">
        <v>29.18</v>
      </c>
      <c r="AM131" s="156">
        <v>5.2600000000000007</v>
      </c>
      <c r="AN131" s="436">
        <v>55.709999999999994</v>
      </c>
      <c r="AO131" s="151"/>
      <c r="AP131" s="152"/>
      <c r="AQ131" s="173">
        <v>-0.2</v>
      </c>
      <c r="AR131" s="117">
        <v>-0.2</v>
      </c>
      <c r="AS131" s="432" t="s">
        <v>26</v>
      </c>
      <c r="AT131" s="433" t="s">
        <v>26</v>
      </c>
      <c r="AU131" s="435">
        <v>0.19999999999999998</v>
      </c>
      <c r="AV131" s="448">
        <v>45.79</v>
      </c>
      <c r="AW131" s="151"/>
      <c r="AX131" s="152"/>
      <c r="AY131" s="173">
        <v>-0.2</v>
      </c>
      <c r="AZ131" s="117">
        <v>-0.2</v>
      </c>
      <c r="BA131" s="432" t="s">
        <v>26</v>
      </c>
      <c r="BB131" s="433" t="s">
        <v>26</v>
      </c>
      <c r="BC131" s="435">
        <v>0.1</v>
      </c>
      <c r="BD131" s="432">
        <v>0.65</v>
      </c>
      <c r="BE131" s="431">
        <v>0.64</v>
      </c>
      <c r="BF131" s="403"/>
      <c r="BG131" s="403"/>
      <c r="BH131" s="403"/>
      <c r="BI131" s="437">
        <v>0.65</v>
      </c>
      <c r="BJ131" s="435">
        <v>0.65</v>
      </c>
      <c r="BK131" s="435">
        <v>-10</v>
      </c>
      <c r="BL131" s="435">
        <v>0.64</v>
      </c>
      <c r="BM131" s="435">
        <v>0.64</v>
      </c>
      <c r="BN131" s="436">
        <v>-10</v>
      </c>
    </row>
    <row r="132" spans="1:66" s="57" customFormat="1" ht="15" customHeight="1" x14ac:dyDescent="0.2">
      <c r="A132" s="169" t="s">
        <v>33</v>
      </c>
      <c r="B132" s="150">
        <v>3.8499999999999996</v>
      </c>
      <c r="C132" s="117">
        <v>30.349999999999998</v>
      </c>
      <c r="D132" s="117">
        <v>5.04</v>
      </c>
      <c r="E132" s="135">
        <v>57.68</v>
      </c>
      <c r="F132" s="151"/>
      <c r="G132" s="152"/>
      <c r="H132" s="182">
        <v>-0.2</v>
      </c>
      <c r="I132" s="117">
        <v>-0.2</v>
      </c>
      <c r="J132" s="117" t="s">
        <v>26</v>
      </c>
      <c r="K132" s="117" t="s">
        <v>26</v>
      </c>
      <c r="L132" s="117">
        <v>0.19999999999999998</v>
      </c>
      <c r="M132" s="135">
        <v>45.769999999999996</v>
      </c>
      <c r="N132" s="151"/>
      <c r="O132" s="152"/>
      <c r="P132" s="182">
        <v>-0.2</v>
      </c>
      <c r="Q132" s="117">
        <v>-0.2</v>
      </c>
      <c r="R132" s="117" t="s">
        <v>26</v>
      </c>
      <c r="S132" s="117" t="s">
        <v>26</v>
      </c>
      <c r="T132" s="117">
        <v>0.09</v>
      </c>
      <c r="U132" s="117">
        <v>0.72000000000000008</v>
      </c>
      <c r="V132" s="118">
        <v>0.70000000000000007</v>
      </c>
      <c r="W132" s="153"/>
      <c r="X132" s="153"/>
      <c r="Y132" s="312"/>
      <c r="Z132" s="173">
        <v>0.72000000000000008</v>
      </c>
      <c r="AA132" s="117">
        <v>0.72000000000000008</v>
      </c>
      <c r="AB132" s="117">
        <v>-10</v>
      </c>
      <c r="AC132" s="117">
        <v>0.70000000000000007</v>
      </c>
      <c r="AD132" s="117">
        <v>0.70000000000000007</v>
      </c>
      <c r="AE132" s="118">
        <v>-10</v>
      </c>
      <c r="AG132" s="2"/>
      <c r="AH132" s="2"/>
      <c r="AJ132" s="400" t="s">
        <v>33</v>
      </c>
      <c r="AK132" s="154">
        <v>3.6499999999999995</v>
      </c>
      <c r="AL132" s="156">
        <v>29.849999999999998</v>
      </c>
      <c r="AM132" s="156">
        <v>4.9400000000000004</v>
      </c>
      <c r="AN132" s="436">
        <v>57.68</v>
      </c>
      <c r="AO132" s="151"/>
      <c r="AP132" s="152"/>
      <c r="AQ132" s="173">
        <v>-0.2</v>
      </c>
      <c r="AR132" s="117">
        <v>-0.2</v>
      </c>
      <c r="AS132" s="432" t="s">
        <v>26</v>
      </c>
      <c r="AT132" s="433" t="s">
        <v>26</v>
      </c>
      <c r="AU132" s="435">
        <v>0.19999999999999998</v>
      </c>
      <c r="AV132" s="448">
        <v>45.769999999999996</v>
      </c>
      <c r="AW132" s="151"/>
      <c r="AX132" s="152"/>
      <c r="AY132" s="173">
        <v>-0.2</v>
      </c>
      <c r="AZ132" s="117">
        <v>-0.2</v>
      </c>
      <c r="BA132" s="432" t="s">
        <v>26</v>
      </c>
      <c r="BB132" s="433" t="s">
        <v>26</v>
      </c>
      <c r="BC132" s="435">
        <v>0.09</v>
      </c>
      <c r="BD132" s="432">
        <v>0.72000000000000008</v>
      </c>
      <c r="BE132" s="431">
        <v>0.70000000000000007</v>
      </c>
      <c r="BF132" s="403"/>
      <c r="BG132" s="403"/>
      <c r="BH132" s="403"/>
      <c r="BI132" s="437">
        <v>0.72000000000000008</v>
      </c>
      <c r="BJ132" s="435">
        <v>0.72000000000000008</v>
      </c>
      <c r="BK132" s="435">
        <v>-10</v>
      </c>
      <c r="BL132" s="435">
        <v>0.70000000000000007</v>
      </c>
      <c r="BM132" s="435">
        <v>0.70000000000000007</v>
      </c>
      <c r="BN132" s="436">
        <v>-10</v>
      </c>
    </row>
    <row r="133" spans="1:66" s="57" customFormat="1" ht="15" customHeight="1" x14ac:dyDescent="0.2">
      <c r="A133" s="169" t="s">
        <v>34</v>
      </c>
      <c r="B133" s="150">
        <v>4.1900000000000004</v>
      </c>
      <c r="C133" s="117">
        <v>31.220000000000002</v>
      </c>
      <c r="D133" s="117">
        <v>4.7300000000000004</v>
      </c>
      <c r="E133" s="135">
        <v>60.16</v>
      </c>
      <c r="F133" s="151"/>
      <c r="G133" s="152"/>
      <c r="H133" s="182">
        <v>-0.2</v>
      </c>
      <c r="I133" s="117">
        <v>-0.2</v>
      </c>
      <c r="J133" s="117" t="s">
        <v>26</v>
      </c>
      <c r="K133" s="117" t="s">
        <v>26</v>
      </c>
      <c r="L133" s="117">
        <v>0.18999999999999997</v>
      </c>
      <c r="M133" s="135">
        <v>46.01</v>
      </c>
      <c r="N133" s="151"/>
      <c r="O133" s="152"/>
      <c r="P133" s="182">
        <v>-0.2</v>
      </c>
      <c r="Q133" s="117">
        <v>-0.2</v>
      </c>
      <c r="R133" s="117" t="s">
        <v>26</v>
      </c>
      <c r="S133" s="117" t="s">
        <v>26</v>
      </c>
      <c r="T133" s="117">
        <v>0.1</v>
      </c>
      <c r="U133" s="117">
        <v>0.76999999999999991</v>
      </c>
      <c r="V133" s="118">
        <v>0.74999999999999989</v>
      </c>
      <c r="W133" s="153"/>
      <c r="X133" s="153"/>
      <c r="Y133" s="312"/>
      <c r="Z133" s="173">
        <v>0.76999999999999991</v>
      </c>
      <c r="AA133" s="117">
        <v>0.76999999999999991</v>
      </c>
      <c r="AB133" s="117">
        <v>-10</v>
      </c>
      <c r="AC133" s="117">
        <v>0.74999999999999989</v>
      </c>
      <c r="AD133" s="117">
        <v>0.74999999999999989</v>
      </c>
      <c r="AE133" s="118">
        <v>-10</v>
      </c>
      <c r="AG133" s="2"/>
      <c r="AH133" s="2"/>
      <c r="AJ133" s="400" t="s">
        <v>34</v>
      </c>
      <c r="AK133" s="154">
        <v>3.99</v>
      </c>
      <c r="AL133" s="156">
        <v>30.720000000000002</v>
      </c>
      <c r="AM133" s="156">
        <v>4.7300000000000004</v>
      </c>
      <c r="AN133" s="436">
        <v>60.16</v>
      </c>
      <c r="AO133" s="151"/>
      <c r="AP133" s="152"/>
      <c r="AQ133" s="173">
        <v>-0.2</v>
      </c>
      <c r="AR133" s="117">
        <v>-0.2</v>
      </c>
      <c r="AS133" s="432" t="s">
        <v>26</v>
      </c>
      <c r="AT133" s="433" t="s">
        <v>26</v>
      </c>
      <c r="AU133" s="435">
        <v>0.18999999999999997</v>
      </c>
      <c r="AV133" s="448">
        <v>46.01</v>
      </c>
      <c r="AW133" s="151"/>
      <c r="AX133" s="152"/>
      <c r="AY133" s="173">
        <v>-0.2</v>
      </c>
      <c r="AZ133" s="117">
        <v>-0.2</v>
      </c>
      <c r="BA133" s="432" t="s">
        <v>26</v>
      </c>
      <c r="BB133" s="433" t="s">
        <v>26</v>
      </c>
      <c r="BC133" s="435">
        <v>0.1</v>
      </c>
      <c r="BD133" s="432">
        <v>0.76999999999999991</v>
      </c>
      <c r="BE133" s="431">
        <v>0.74999999999999989</v>
      </c>
      <c r="BF133" s="403"/>
      <c r="BG133" s="403"/>
      <c r="BH133" s="403"/>
      <c r="BI133" s="437">
        <v>0.76999999999999991</v>
      </c>
      <c r="BJ133" s="435">
        <v>0.76999999999999991</v>
      </c>
      <c r="BK133" s="435">
        <v>-10</v>
      </c>
      <c r="BL133" s="435">
        <v>0.74999999999999989</v>
      </c>
      <c r="BM133" s="435">
        <v>0.74999999999999989</v>
      </c>
      <c r="BN133" s="436">
        <v>-10</v>
      </c>
    </row>
    <row r="134" spans="1:66" s="57" customFormat="1" ht="15" customHeight="1" x14ac:dyDescent="0.2">
      <c r="A134" s="299" t="s">
        <v>35</v>
      </c>
      <c r="B134" s="161">
        <v>4.76</v>
      </c>
      <c r="C134" s="162">
        <v>32.160000000000004</v>
      </c>
      <c r="D134" s="162">
        <v>4.5199999999999996</v>
      </c>
      <c r="E134" s="163">
        <v>63.12</v>
      </c>
      <c r="F134" s="151"/>
      <c r="G134" s="152"/>
      <c r="H134" s="320">
        <v>-0.2</v>
      </c>
      <c r="I134" s="162">
        <v>-0.2</v>
      </c>
      <c r="J134" s="162" t="s">
        <v>26</v>
      </c>
      <c r="K134" s="162" t="s">
        <v>26</v>
      </c>
      <c r="L134" s="162">
        <v>0.19999999999999998</v>
      </c>
      <c r="M134" s="163">
        <v>46.8</v>
      </c>
      <c r="N134" s="151"/>
      <c r="O134" s="152"/>
      <c r="P134" s="320">
        <v>-0.2</v>
      </c>
      <c r="Q134" s="162">
        <v>-0.2</v>
      </c>
      <c r="R134" s="162" t="s">
        <v>26</v>
      </c>
      <c r="S134" s="162" t="s">
        <v>26</v>
      </c>
      <c r="T134" s="162">
        <v>0.1</v>
      </c>
      <c r="U134" s="162">
        <v>0.79999999999999993</v>
      </c>
      <c r="V134" s="165">
        <v>0.78999999999999992</v>
      </c>
      <c r="W134" s="153"/>
      <c r="X134" s="153"/>
      <c r="Y134" s="312"/>
      <c r="Z134" s="324">
        <v>0.79999999999999993</v>
      </c>
      <c r="AA134" s="162">
        <v>0.79999999999999993</v>
      </c>
      <c r="AB134" s="162">
        <v>-10</v>
      </c>
      <c r="AC134" s="162">
        <v>0.78999999999999992</v>
      </c>
      <c r="AD134" s="162">
        <v>0.78999999999999992</v>
      </c>
      <c r="AE134" s="165">
        <v>-10</v>
      </c>
      <c r="AG134" s="2"/>
      <c r="AH134" s="2"/>
      <c r="AJ134" s="405" t="s">
        <v>35</v>
      </c>
      <c r="AK134" s="154">
        <v>4.5599999999999996</v>
      </c>
      <c r="AL134" s="156">
        <v>31.89</v>
      </c>
      <c r="AM134" s="156">
        <v>4.5199999999999996</v>
      </c>
      <c r="AN134" s="436">
        <v>63.12</v>
      </c>
      <c r="AO134" s="151"/>
      <c r="AP134" s="152"/>
      <c r="AQ134" s="324">
        <v>-0.2</v>
      </c>
      <c r="AR134" s="162">
        <v>-0.2</v>
      </c>
      <c r="AS134" s="438" t="s">
        <v>26</v>
      </c>
      <c r="AT134" s="439" t="s">
        <v>26</v>
      </c>
      <c r="AU134" s="441">
        <v>0.19999999999999998</v>
      </c>
      <c r="AV134" s="528">
        <v>46.8</v>
      </c>
      <c r="AW134" s="151"/>
      <c r="AX134" s="152"/>
      <c r="AY134" s="324">
        <v>-0.2</v>
      </c>
      <c r="AZ134" s="162">
        <v>-0.2</v>
      </c>
      <c r="BA134" s="438" t="s">
        <v>26</v>
      </c>
      <c r="BB134" s="439" t="s">
        <v>26</v>
      </c>
      <c r="BC134" s="441">
        <v>0.1</v>
      </c>
      <c r="BD134" s="438">
        <v>0.79999999999999993</v>
      </c>
      <c r="BE134" s="529">
        <v>0.78999999999999992</v>
      </c>
      <c r="BF134" s="403"/>
      <c r="BG134" s="403"/>
      <c r="BH134" s="403"/>
      <c r="BI134" s="437">
        <v>0.79999999999999993</v>
      </c>
      <c r="BJ134" s="435">
        <v>0.79999999999999993</v>
      </c>
      <c r="BK134" s="435">
        <v>-10</v>
      </c>
      <c r="BL134" s="435">
        <v>0.78999999999999992</v>
      </c>
      <c r="BM134" s="435">
        <v>0.78999999999999992</v>
      </c>
      <c r="BN134" s="436">
        <v>-10</v>
      </c>
    </row>
    <row r="135" spans="1:66" s="57" customFormat="1" ht="15" customHeight="1" x14ac:dyDescent="0.2">
      <c r="A135" s="169" t="s">
        <v>36</v>
      </c>
      <c r="B135" s="150">
        <v>5.49</v>
      </c>
      <c r="C135" s="117">
        <v>33.010000000000005</v>
      </c>
      <c r="D135" s="117">
        <v>4.4000000000000004</v>
      </c>
      <c r="E135" s="135">
        <v>66.679999999999993</v>
      </c>
      <c r="F135" s="151"/>
      <c r="G135" s="152"/>
      <c r="H135" s="182">
        <v>-0.2</v>
      </c>
      <c r="I135" s="117">
        <v>-0.2</v>
      </c>
      <c r="J135" s="117" t="s">
        <v>26</v>
      </c>
      <c r="K135" s="117" t="s">
        <v>26</v>
      </c>
      <c r="L135" s="117">
        <v>0.18999999999999997</v>
      </c>
      <c r="M135" s="135">
        <v>48.16</v>
      </c>
      <c r="N135" s="151"/>
      <c r="O135" s="152"/>
      <c r="P135" s="182">
        <v>-0.2</v>
      </c>
      <c r="Q135" s="117">
        <v>-0.2</v>
      </c>
      <c r="R135" s="117" t="s">
        <v>26</v>
      </c>
      <c r="S135" s="117" t="s">
        <v>26</v>
      </c>
      <c r="T135" s="117">
        <v>0.1</v>
      </c>
      <c r="U135" s="117">
        <v>0.84</v>
      </c>
      <c r="V135" s="118">
        <v>0.83</v>
      </c>
      <c r="W135" s="153"/>
      <c r="X135" s="153"/>
      <c r="Y135" s="170" t="s">
        <v>26</v>
      </c>
      <c r="Z135" s="117">
        <v>0.84</v>
      </c>
      <c r="AA135" s="117">
        <v>0.84</v>
      </c>
      <c r="AB135" s="117">
        <v>-10</v>
      </c>
      <c r="AC135" s="117">
        <v>0.83</v>
      </c>
      <c r="AD135" s="117">
        <v>0.83</v>
      </c>
      <c r="AE135" s="118">
        <v>-10</v>
      </c>
      <c r="AG135" s="2"/>
      <c r="AH135" s="2"/>
      <c r="AJ135" s="400" t="s">
        <v>36</v>
      </c>
      <c r="AK135" s="154">
        <v>5.24</v>
      </c>
      <c r="AL135" s="156">
        <v>32.67</v>
      </c>
      <c r="AM135" s="156">
        <v>4.4000000000000004</v>
      </c>
      <c r="AN135" s="436">
        <v>66.679999999999993</v>
      </c>
      <c r="AO135" s="151"/>
      <c r="AP135" s="152"/>
      <c r="AQ135" s="173">
        <v>-0.2</v>
      </c>
      <c r="AR135" s="117">
        <v>-0.2</v>
      </c>
      <c r="AS135" s="432" t="s">
        <v>26</v>
      </c>
      <c r="AT135" s="433" t="s">
        <v>26</v>
      </c>
      <c r="AU135" s="435">
        <v>0.18999999999999997</v>
      </c>
      <c r="AV135" s="436">
        <v>48.16</v>
      </c>
      <c r="AW135" s="151"/>
      <c r="AX135" s="152"/>
      <c r="AY135" s="173">
        <v>-0.2</v>
      </c>
      <c r="AZ135" s="117">
        <v>-0.2</v>
      </c>
      <c r="BA135" s="432" t="s">
        <v>26</v>
      </c>
      <c r="BB135" s="433" t="s">
        <v>26</v>
      </c>
      <c r="BC135" s="435">
        <v>0.1</v>
      </c>
      <c r="BD135" s="432">
        <v>0.84</v>
      </c>
      <c r="BE135" s="431">
        <v>0.83</v>
      </c>
      <c r="BF135" s="403"/>
      <c r="BG135" s="403"/>
      <c r="BH135" s="429" t="s">
        <v>26</v>
      </c>
      <c r="BI135" s="435">
        <v>0.84</v>
      </c>
      <c r="BJ135" s="435">
        <v>0.84</v>
      </c>
      <c r="BK135" s="435">
        <v>-10</v>
      </c>
      <c r="BL135" s="435">
        <v>0.83</v>
      </c>
      <c r="BM135" s="435">
        <v>0.83</v>
      </c>
      <c r="BN135" s="436">
        <v>-10</v>
      </c>
    </row>
    <row r="136" spans="1:66" s="57" customFormat="1" ht="15" customHeight="1" x14ac:dyDescent="0.2">
      <c r="A136" s="327" t="s">
        <v>37</v>
      </c>
      <c r="B136" s="150">
        <v>6.74</v>
      </c>
      <c r="C136" s="117">
        <v>34.28</v>
      </c>
      <c r="D136" s="117">
        <v>4.3099999999999996</v>
      </c>
      <c r="E136" s="135">
        <v>76.209999999999994</v>
      </c>
      <c r="F136" s="151"/>
      <c r="G136" s="152"/>
      <c r="H136" s="182">
        <v>-0.2</v>
      </c>
      <c r="I136" s="117">
        <v>-0.2</v>
      </c>
      <c r="J136" s="117" t="s">
        <v>26</v>
      </c>
      <c r="K136" s="117" t="s">
        <v>26</v>
      </c>
      <c r="L136" s="117">
        <v>0.19999999999999998</v>
      </c>
      <c r="M136" s="135">
        <v>51.75</v>
      </c>
      <c r="N136" s="151"/>
      <c r="O136" s="152"/>
      <c r="P136" s="182">
        <v>-0.2</v>
      </c>
      <c r="Q136" s="117">
        <v>-0.2</v>
      </c>
      <c r="R136" s="117" t="s">
        <v>26</v>
      </c>
      <c r="S136" s="117" t="s">
        <v>26</v>
      </c>
      <c r="T136" s="117">
        <v>0.1</v>
      </c>
      <c r="U136" s="117">
        <v>0.92</v>
      </c>
      <c r="V136" s="118">
        <v>0.9</v>
      </c>
      <c r="W136" s="153"/>
      <c r="X136" s="153"/>
      <c r="Y136" s="173" t="s">
        <v>26</v>
      </c>
      <c r="Z136" s="117">
        <v>0.92</v>
      </c>
      <c r="AA136" s="117">
        <v>0.92</v>
      </c>
      <c r="AB136" s="117">
        <v>-10</v>
      </c>
      <c r="AC136" s="117">
        <v>0.9</v>
      </c>
      <c r="AD136" s="117">
        <v>0.9</v>
      </c>
      <c r="AE136" s="118">
        <v>-10</v>
      </c>
      <c r="AG136" s="2"/>
      <c r="AH136" s="2"/>
      <c r="AJ136" s="445" t="s">
        <v>37</v>
      </c>
      <c r="AK136" s="154">
        <v>6.44</v>
      </c>
      <c r="AL136" s="156">
        <v>34.06</v>
      </c>
      <c r="AM136" s="156">
        <v>4.3099999999999996</v>
      </c>
      <c r="AN136" s="436">
        <v>76.209999999999994</v>
      </c>
      <c r="AO136" s="151"/>
      <c r="AP136" s="152"/>
      <c r="AQ136" s="173">
        <v>-0.2</v>
      </c>
      <c r="AR136" s="117">
        <v>-0.2</v>
      </c>
      <c r="AS136" s="432" t="s">
        <v>26</v>
      </c>
      <c r="AT136" s="433" t="s">
        <v>26</v>
      </c>
      <c r="AU136" s="435">
        <v>0.19999999999999998</v>
      </c>
      <c r="AV136" s="448">
        <v>51.75</v>
      </c>
      <c r="AW136" s="151"/>
      <c r="AX136" s="152"/>
      <c r="AY136" s="173">
        <v>-0.2</v>
      </c>
      <c r="AZ136" s="117">
        <v>-0.2</v>
      </c>
      <c r="BA136" s="432" t="s">
        <v>26</v>
      </c>
      <c r="BB136" s="433" t="s">
        <v>26</v>
      </c>
      <c r="BC136" s="435">
        <v>0.1</v>
      </c>
      <c r="BD136" s="432">
        <v>0.92</v>
      </c>
      <c r="BE136" s="431">
        <v>0.9</v>
      </c>
      <c r="BF136" s="403"/>
      <c r="BG136" s="403"/>
      <c r="BH136" s="437" t="s">
        <v>26</v>
      </c>
      <c r="BI136" s="435">
        <v>0.92</v>
      </c>
      <c r="BJ136" s="435">
        <v>0.92</v>
      </c>
      <c r="BK136" s="435">
        <v>-10</v>
      </c>
      <c r="BL136" s="435">
        <v>0.9</v>
      </c>
      <c r="BM136" s="435">
        <v>0.9</v>
      </c>
      <c r="BN136" s="436">
        <v>-10</v>
      </c>
    </row>
    <row r="137" spans="1:66" s="57" customFormat="1" ht="15" customHeight="1" x14ac:dyDescent="0.2">
      <c r="A137" s="169" t="s">
        <v>38</v>
      </c>
      <c r="B137" s="150">
        <v>8.48</v>
      </c>
      <c r="C137" s="117">
        <v>35.79</v>
      </c>
      <c r="D137" s="117">
        <v>4.1900000000000004</v>
      </c>
      <c r="E137" s="135">
        <v>88.61999999999999</v>
      </c>
      <c r="F137" s="151"/>
      <c r="G137" s="152"/>
      <c r="H137" s="182">
        <v>-0.2</v>
      </c>
      <c r="I137" s="117">
        <v>-0.2</v>
      </c>
      <c r="J137" s="117" t="s">
        <v>26</v>
      </c>
      <c r="K137" s="117" t="s">
        <v>26</v>
      </c>
      <c r="L137" s="117">
        <v>0.19999999999999998</v>
      </c>
      <c r="M137" s="135">
        <v>55.83</v>
      </c>
      <c r="N137" s="151"/>
      <c r="O137" s="152"/>
      <c r="P137" s="182">
        <v>-0.2</v>
      </c>
      <c r="Q137" s="117">
        <v>-0.2</v>
      </c>
      <c r="R137" s="117" t="s">
        <v>26</v>
      </c>
      <c r="S137" s="117" t="s">
        <v>26</v>
      </c>
      <c r="T137" s="117">
        <v>0.1</v>
      </c>
      <c r="U137" s="117">
        <v>0.98999999999999988</v>
      </c>
      <c r="V137" s="118">
        <v>0.98999999999999988</v>
      </c>
      <c r="W137" s="153"/>
      <c r="X137" s="153"/>
      <c r="Y137" s="173" t="s">
        <v>26</v>
      </c>
      <c r="Z137" s="117">
        <v>0.98999999999999988</v>
      </c>
      <c r="AA137" s="117">
        <v>0.98999999999999988</v>
      </c>
      <c r="AB137" s="117">
        <v>-10</v>
      </c>
      <c r="AC137" s="117">
        <v>0.98999999999999988</v>
      </c>
      <c r="AD137" s="117">
        <v>0.98999999999999988</v>
      </c>
      <c r="AE137" s="118">
        <v>-10</v>
      </c>
      <c r="AG137" s="2"/>
      <c r="AH137" s="2"/>
      <c r="AJ137" s="400" t="s">
        <v>38</v>
      </c>
      <c r="AK137" s="154">
        <v>8.18</v>
      </c>
      <c r="AL137" s="156">
        <v>35.480000000000004</v>
      </c>
      <c r="AM137" s="156">
        <v>4.1900000000000004</v>
      </c>
      <c r="AN137" s="436">
        <v>88.61999999999999</v>
      </c>
      <c r="AO137" s="151"/>
      <c r="AP137" s="152"/>
      <c r="AQ137" s="173">
        <v>-0.2</v>
      </c>
      <c r="AR137" s="117">
        <v>-0.2</v>
      </c>
      <c r="AS137" s="432" t="s">
        <v>26</v>
      </c>
      <c r="AT137" s="433" t="s">
        <v>26</v>
      </c>
      <c r="AU137" s="435">
        <v>0.19999999999999998</v>
      </c>
      <c r="AV137" s="448">
        <v>55.83</v>
      </c>
      <c r="AW137" s="151"/>
      <c r="AX137" s="152"/>
      <c r="AY137" s="173">
        <v>-0.2</v>
      </c>
      <c r="AZ137" s="117">
        <v>-0.2</v>
      </c>
      <c r="BA137" s="432" t="s">
        <v>26</v>
      </c>
      <c r="BB137" s="433" t="s">
        <v>26</v>
      </c>
      <c r="BC137" s="435">
        <v>0.1</v>
      </c>
      <c r="BD137" s="432">
        <v>0.98999999999999988</v>
      </c>
      <c r="BE137" s="431">
        <v>0.98999999999999988</v>
      </c>
      <c r="BF137" s="403"/>
      <c r="BG137" s="403"/>
      <c r="BH137" s="437" t="s">
        <v>26</v>
      </c>
      <c r="BI137" s="435">
        <v>0.98999999999999988</v>
      </c>
      <c r="BJ137" s="435">
        <v>0.98999999999999988</v>
      </c>
      <c r="BK137" s="435">
        <v>-10</v>
      </c>
      <c r="BL137" s="435">
        <v>0.98999999999999988</v>
      </c>
      <c r="BM137" s="435">
        <v>0.98999999999999988</v>
      </c>
      <c r="BN137" s="436">
        <v>-10</v>
      </c>
    </row>
    <row r="138" spans="1:66" s="57" customFormat="1" ht="15" customHeight="1" x14ac:dyDescent="0.2">
      <c r="A138" s="169" t="s">
        <v>39</v>
      </c>
      <c r="B138" s="150">
        <v>10.62</v>
      </c>
      <c r="C138" s="117">
        <v>37.72</v>
      </c>
      <c r="D138" s="117">
        <v>4.03</v>
      </c>
      <c r="E138" s="135">
        <v>100.53</v>
      </c>
      <c r="F138" s="151"/>
      <c r="G138" s="152"/>
      <c r="H138" s="182">
        <v>-0.2</v>
      </c>
      <c r="I138" s="117">
        <v>-0.2</v>
      </c>
      <c r="J138" s="117" t="s">
        <v>26</v>
      </c>
      <c r="K138" s="117" t="s">
        <v>26</v>
      </c>
      <c r="L138" s="117">
        <v>0.19999999999999998</v>
      </c>
      <c r="M138" s="135">
        <v>60.269999999999996</v>
      </c>
      <c r="N138" s="151"/>
      <c r="O138" s="152"/>
      <c r="P138" s="182">
        <v>-0.2</v>
      </c>
      <c r="Q138" s="117">
        <v>-0.2</v>
      </c>
      <c r="R138" s="117" t="s">
        <v>26</v>
      </c>
      <c r="S138" s="117" t="s">
        <v>26</v>
      </c>
      <c r="T138" s="117">
        <v>0.1</v>
      </c>
      <c r="U138" s="117">
        <v>1.0699999999999998</v>
      </c>
      <c r="V138" s="118">
        <v>1.0899999999999999</v>
      </c>
      <c r="W138" s="153"/>
      <c r="X138" s="153"/>
      <c r="Y138" s="173" t="s">
        <v>26</v>
      </c>
      <c r="Z138" s="117">
        <v>1.0699999999999998</v>
      </c>
      <c r="AA138" s="117">
        <v>1.0699999999999998</v>
      </c>
      <c r="AB138" s="117">
        <v>-10</v>
      </c>
      <c r="AC138" s="117">
        <v>1.0899999999999999</v>
      </c>
      <c r="AD138" s="117">
        <v>1.0899999999999999</v>
      </c>
      <c r="AE138" s="118">
        <v>-10</v>
      </c>
      <c r="AG138" s="2"/>
      <c r="AH138" s="2"/>
      <c r="AJ138" s="400" t="s">
        <v>39</v>
      </c>
      <c r="AK138" s="154">
        <v>10.219999999999999</v>
      </c>
      <c r="AL138" s="156">
        <v>37.32</v>
      </c>
      <c r="AM138" s="156">
        <v>4.03</v>
      </c>
      <c r="AN138" s="436">
        <v>100.53</v>
      </c>
      <c r="AO138" s="151"/>
      <c r="AP138" s="152"/>
      <c r="AQ138" s="173">
        <v>-0.2</v>
      </c>
      <c r="AR138" s="117">
        <v>-0.2</v>
      </c>
      <c r="AS138" s="432" t="s">
        <v>26</v>
      </c>
      <c r="AT138" s="433" t="s">
        <v>26</v>
      </c>
      <c r="AU138" s="435">
        <v>0.19999999999999998</v>
      </c>
      <c r="AV138" s="448">
        <v>60.269999999999996</v>
      </c>
      <c r="AW138" s="151"/>
      <c r="AX138" s="152"/>
      <c r="AY138" s="173">
        <v>-0.2</v>
      </c>
      <c r="AZ138" s="117">
        <v>-0.2</v>
      </c>
      <c r="BA138" s="432" t="s">
        <v>26</v>
      </c>
      <c r="BB138" s="433" t="s">
        <v>26</v>
      </c>
      <c r="BC138" s="435">
        <v>0.1</v>
      </c>
      <c r="BD138" s="432">
        <v>1.0699999999999998</v>
      </c>
      <c r="BE138" s="431">
        <v>1.0899999999999999</v>
      </c>
      <c r="BF138" s="403"/>
      <c r="BG138" s="403"/>
      <c r="BH138" s="437" t="s">
        <v>26</v>
      </c>
      <c r="BI138" s="435">
        <v>1.0699999999999998</v>
      </c>
      <c r="BJ138" s="435">
        <v>1.0699999999999998</v>
      </c>
      <c r="BK138" s="435">
        <v>-10</v>
      </c>
      <c r="BL138" s="435">
        <v>1.0899999999999999</v>
      </c>
      <c r="BM138" s="435">
        <v>1.0899999999999999</v>
      </c>
      <c r="BN138" s="436">
        <v>-10</v>
      </c>
    </row>
    <row r="139" spans="1:66" s="57" customFormat="1" ht="15" customHeight="1" x14ac:dyDescent="0.2">
      <c r="A139" s="169" t="s">
        <v>40</v>
      </c>
      <c r="B139" s="150">
        <v>12.72</v>
      </c>
      <c r="C139" s="117">
        <v>39.900000000000006</v>
      </c>
      <c r="D139" s="117">
        <v>3.88</v>
      </c>
      <c r="E139" s="135">
        <v>109.48</v>
      </c>
      <c r="F139" s="151"/>
      <c r="G139" s="152"/>
      <c r="H139" s="182">
        <v>-0.2</v>
      </c>
      <c r="I139" s="117">
        <v>-0.2</v>
      </c>
      <c r="J139" s="117" t="s">
        <v>26</v>
      </c>
      <c r="K139" s="117" t="s">
        <v>26</v>
      </c>
      <c r="L139" s="117">
        <v>0.19999999999999998</v>
      </c>
      <c r="M139" s="135">
        <v>64.2</v>
      </c>
      <c r="N139" s="151"/>
      <c r="O139" s="152"/>
      <c r="P139" s="182">
        <v>-0.2</v>
      </c>
      <c r="Q139" s="117">
        <v>-0.2</v>
      </c>
      <c r="R139" s="117" t="s">
        <v>26</v>
      </c>
      <c r="S139" s="117" t="s">
        <v>26</v>
      </c>
      <c r="T139" s="117">
        <v>0.1</v>
      </c>
      <c r="U139" s="117">
        <v>1.0899999999999999</v>
      </c>
      <c r="V139" s="118">
        <v>1.0299999999999998</v>
      </c>
      <c r="W139" s="153"/>
      <c r="X139" s="153"/>
      <c r="Y139" s="173" t="s">
        <v>26</v>
      </c>
      <c r="Z139" s="117">
        <v>1.0899999999999999</v>
      </c>
      <c r="AA139" s="117">
        <v>1.0899999999999999</v>
      </c>
      <c r="AB139" s="117">
        <v>-10</v>
      </c>
      <c r="AC139" s="117">
        <v>1.0299999999999998</v>
      </c>
      <c r="AD139" s="117">
        <v>1.0299999999999998</v>
      </c>
      <c r="AE139" s="118">
        <v>-10</v>
      </c>
      <c r="AG139" s="2"/>
      <c r="AH139" s="2"/>
      <c r="AJ139" s="400" t="s">
        <v>40</v>
      </c>
      <c r="AK139" s="154">
        <v>11.72</v>
      </c>
      <c r="AL139" s="156">
        <v>39.400000000000006</v>
      </c>
      <c r="AM139" s="156">
        <v>3.88</v>
      </c>
      <c r="AN139" s="436">
        <v>109.48</v>
      </c>
      <c r="AO139" s="151"/>
      <c r="AP139" s="152"/>
      <c r="AQ139" s="173">
        <v>-0.2</v>
      </c>
      <c r="AR139" s="117">
        <v>-0.2</v>
      </c>
      <c r="AS139" s="432" t="s">
        <v>26</v>
      </c>
      <c r="AT139" s="433" t="s">
        <v>26</v>
      </c>
      <c r="AU139" s="435">
        <v>0.19999999999999998</v>
      </c>
      <c r="AV139" s="448">
        <v>64.2</v>
      </c>
      <c r="AW139" s="151"/>
      <c r="AX139" s="152"/>
      <c r="AY139" s="173">
        <v>-0.2</v>
      </c>
      <c r="AZ139" s="117">
        <v>-0.2</v>
      </c>
      <c r="BA139" s="432" t="s">
        <v>26</v>
      </c>
      <c r="BB139" s="433" t="s">
        <v>26</v>
      </c>
      <c r="BC139" s="435">
        <v>0.1</v>
      </c>
      <c r="BD139" s="432">
        <v>1.0899999999999999</v>
      </c>
      <c r="BE139" s="431">
        <v>1.0299999999999998</v>
      </c>
      <c r="BF139" s="403"/>
      <c r="BG139" s="403"/>
      <c r="BH139" s="437" t="s">
        <v>26</v>
      </c>
      <c r="BI139" s="435">
        <v>1.0899999999999999</v>
      </c>
      <c r="BJ139" s="435">
        <v>1.0899999999999999</v>
      </c>
      <c r="BK139" s="435">
        <v>-10</v>
      </c>
      <c r="BL139" s="435">
        <v>1.0299999999999998</v>
      </c>
      <c r="BM139" s="435">
        <v>1.0299999999999998</v>
      </c>
      <c r="BN139" s="436">
        <v>-10</v>
      </c>
    </row>
    <row r="140" spans="1:66" s="57" customFormat="1" ht="15" customHeight="1" x14ac:dyDescent="0.2">
      <c r="A140" s="169" t="s">
        <v>41</v>
      </c>
      <c r="B140" s="150">
        <v>14.81</v>
      </c>
      <c r="C140" s="117">
        <v>42.06</v>
      </c>
      <c r="D140" s="117">
        <v>3.74</v>
      </c>
      <c r="E140" s="135">
        <v>114.56</v>
      </c>
      <c r="F140" s="151"/>
      <c r="G140" s="152"/>
      <c r="H140" s="182">
        <v>-0.2</v>
      </c>
      <c r="I140" s="117">
        <v>-0.2</v>
      </c>
      <c r="J140" s="117" t="s">
        <v>26</v>
      </c>
      <c r="K140" s="117" t="s">
        <v>26</v>
      </c>
      <c r="L140" s="117">
        <v>0.19999999999999998</v>
      </c>
      <c r="M140" s="135">
        <v>68.16</v>
      </c>
      <c r="N140" s="151"/>
      <c r="O140" s="152"/>
      <c r="P140" s="182">
        <v>-0.2</v>
      </c>
      <c r="Q140" s="117">
        <v>-0.2</v>
      </c>
      <c r="R140" s="117" t="s">
        <v>26</v>
      </c>
      <c r="S140" s="117" t="s">
        <v>26</v>
      </c>
      <c r="T140" s="117">
        <v>0.1</v>
      </c>
      <c r="U140" s="117">
        <v>1.1200000000000001</v>
      </c>
      <c r="V140" s="118">
        <v>1.04</v>
      </c>
      <c r="W140" s="153"/>
      <c r="X140" s="153"/>
      <c r="Y140" s="173" t="s">
        <v>26</v>
      </c>
      <c r="Z140" s="117">
        <v>1.1200000000000001</v>
      </c>
      <c r="AA140" s="117">
        <v>1.1200000000000001</v>
      </c>
      <c r="AB140" s="117">
        <v>-10</v>
      </c>
      <c r="AC140" s="117">
        <v>1.04</v>
      </c>
      <c r="AD140" s="117">
        <v>1.04</v>
      </c>
      <c r="AE140" s="118">
        <v>-10</v>
      </c>
      <c r="AG140" s="2"/>
      <c r="AH140" s="2"/>
      <c r="AJ140" s="400" t="s">
        <v>41</v>
      </c>
      <c r="AK140" s="154">
        <v>13.81</v>
      </c>
      <c r="AL140" s="156">
        <v>41.56</v>
      </c>
      <c r="AM140" s="156">
        <v>3.74</v>
      </c>
      <c r="AN140" s="436">
        <v>114.56</v>
      </c>
      <c r="AO140" s="151"/>
      <c r="AP140" s="152"/>
      <c r="AQ140" s="173">
        <v>-0.2</v>
      </c>
      <c r="AR140" s="117">
        <v>-0.2</v>
      </c>
      <c r="AS140" s="432" t="s">
        <v>26</v>
      </c>
      <c r="AT140" s="433" t="s">
        <v>26</v>
      </c>
      <c r="AU140" s="435">
        <v>0.19999999999999998</v>
      </c>
      <c r="AV140" s="448">
        <v>68.16</v>
      </c>
      <c r="AW140" s="151"/>
      <c r="AX140" s="152"/>
      <c r="AY140" s="173">
        <v>-0.2</v>
      </c>
      <c r="AZ140" s="117">
        <v>-0.2</v>
      </c>
      <c r="BA140" s="432" t="s">
        <v>26</v>
      </c>
      <c r="BB140" s="433" t="s">
        <v>26</v>
      </c>
      <c r="BC140" s="435">
        <v>0.1</v>
      </c>
      <c r="BD140" s="432">
        <v>1.1200000000000001</v>
      </c>
      <c r="BE140" s="431">
        <v>1.04</v>
      </c>
      <c r="BF140" s="403"/>
      <c r="BG140" s="403"/>
      <c r="BH140" s="437" t="s">
        <v>26</v>
      </c>
      <c r="BI140" s="435">
        <v>1.1200000000000001</v>
      </c>
      <c r="BJ140" s="435">
        <v>1.1200000000000001</v>
      </c>
      <c r="BK140" s="435">
        <v>-10</v>
      </c>
      <c r="BL140" s="435">
        <v>1.04</v>
      </c>
      <c r="BM140" s="435">
        <v>1.04</v>
      </c>
      <c r="BN140" s="436">
        <v>-10</v>
      </c>
    </row>
    <row r="141" spans="1:66" s="57" customFormat="1" ht="15" customHeight="1" x14ac:dyDescent="0.2">
      <c r="A141" s="169" t="s">
        <v>42</v>
      </c>
      <c r="B141" s="150">
        <v>16.53</v>
      </c>
      <c r="C141" s="117">
        <v>44.17</v>
      </c>
      <c r="D141" s="117">
        <v>3.61</v>
      </c>
      <c r="E141" s="135">
        <v>117.66</v>
      </c>
      <c r="F141" s="151"/>
      <c r="G141" s="152"/>
      <c r="H141" s="182">
        <v>-0.2</v>
      </c>
      <c r="I141" s="117">
        <v>-0.2</v>
      </c>
      <c r="J141" s="117" t="s">
        <v>26</v>
      </c>
      <c r="K141" s="117" t="s">
        <v>26</v>
      </c>
      <c r="L141" s="117">
        <v>0.19999999999999998</v>
      </c>
      <c r="M141" s="135">
        <v>73.099999999999994</v>
      </c>
      <c r="N141" s="151"/>
      <c r="O141" s="152"/>
      <c r="P141" s="182">
        <v>-0.2</v>
      </c>
      <c r="Q141" s="117">
        <v>-0.2</v>
      </c>
      <c r="R141" s="117" t="s">
        <v>26</v>
      </c>
      <c r="S141" s="117" t="s">
        <v>26</v>
      </c>
      <c r="T141" s="117">
        <v>0.1</v>
      </c>
      <c r="U141" s="117">
        <v>1.24</v>
      </c>
      <c r="V141" s="135">
        <v>1.17</v>
      </c>
      <c r="W141" s="311">
        <v>0</v>
      </c>
      <c r="X141" s="153"/>
      <c r="Y141" s="173" t="s">
        <v>26</v>
      </c>
      <c r="Z141" s="117">
        <v>1.24</v>
      </c>
      <c r="AA141" s="117">
        <v>1.24</v>
      </c>
      <c r="AB141" s="117">
        <v>-0.15</v>
      </c>
      <c r="AC141" s="117">
        <v>1.17</v>
      </c>
      <c r="AD141" s="117">
        <v>1.17</v>
      </c>
      <c r="AE141" s="118">
        <v>-0.15</v>
      </c>
      <c r="AG141" s="2"/>
      <c r="AH141" s="2"/>
      <c r="AJ141" s="400" t="s">
        <v>42</v>
      </c>
      <c r="AK141" s="154">
        <v>15.530000000000001</v>
      </c>
      <c r="AL141" s="156">
        <v>43.67</v>
      </c>
      <c r="AM141" s="156">
        <v>3.61</v>
      </c>
      <c r="AN141" s="436">
        <v>117.66</v>
      </c>
      <c r="AO141" s="151"/>
      <c r="AP141" s="152"/>
      <c r="AQ141" s="173">
        <v>-0.2</v>
      </c>
      <c r="AR141" s="117">
        <v>-0.2</v>
      </c>
      <c r="AS141" s="432" t="s">
        <v>26</v>
      </c>
      <c r="AT141" s="433" t="s">
        <v>26</v>
      </c>
      <c r="AU141" s="435">
        <v>0.19999999999999998</v>
      </c>
      <c r="AV141" s="448">
        <v>73.099999999999994</v>
      </c>
      <c r="AW141" s="151"/>
      <c r="AX141" s="152"/>
      <c r="AY141" s="173">
        <v>-0.2</v>
      </c>
      <c r="AZ141" s="117">
        <v>-0.2</v>
      </c>
      <c r="BA141" s="432" t="s">
        <v>26</v>
      </c>
      <c r="BB141" s="433" t="s">
        <v>26</v>
      </c>
      <c r="BC141" s="435">
        <v>0.1</v>
      </c>
      <c r="BD141" s="432">
        <v>1.24</v>
      </c>
      <c r="BE141" s="434">
        <v>1.17</v>
      </c>
      <c r="BF141" s="428">
        <v>0</v>
      </c>
      <c r="BG141" s="403"/>
      <c r="BH141" s="437" t="s">
        <v>26</v>
      </c>
      <c r="BI141" s="435">
        <v>1.24</v>
      </c>
      <c r="BJ141" s="435">
        <v>1.24</v>
      </c>
      <c r="BK141" s="435">
        <v>-0.15</v>
      </c>
      <c r="BL141" s="435">
        <v>1.17</v>
      </c>
      <c r="BM141" s="435">
        <v>1.17</v>
      </c>
      <c r="BN141" s="436">
        <v>-0.15</v>
      </c>
    </row>
    <row r="142" spans="1:66" s="57" customFormat="1" ht="15" customHeight="1" x14ac:dyDescent="0.2">
      <c r="A142" s="169" t="s">
        <v>43</v>
      </c>
      <c r="B142" s="150">
        <v>17.579999999999998</v>
      </c>
      <c r="C142" s="117">
        <v>46.21</v>
      </c>
      <c r="D142" s="117">
        <v>3.48</v>
      </c>
      <c r="E142" s="135">
        <v>119.75999999999999</v>
      </c>
      <c r="F142" s="151"/>
      <c r="G142" s="152"/>
      <c r="H142" s="182">
        <v>-0.2</v>
      </c>
      <c r="I142" s="117">
        <v>-0.2</v>
      </c>
      <c r="J142" s="117" t="s">
        <v>26</v>
      </c>
      <c r="K142" s="117" t="s">
        <v>26</v>
      </c>
      <c r="L142" s="117">
        <v>0.19999999999999998</v>
      </c>
      <c r="M142" s="135">
        <v>78.48</v>
      </c>
      <c r="N142" s="151"/>
      <c r="O142" s="152"/>
      <c r="P142" s="182">
        <v>-0.2</v>
      </c>
      <c r="Q142" s="117">
        <v>-0.2</v>
      </c>
      <c r="R142" s="117" t="s">
        <v>26</v>
      </c>
      <c r="S142" s="117" t="s">
        <v>26</v>
      </c>
      <c r="T142" s="117">
        <v>0.13</v>
      </c>
      <c r="U142" s="117">
        <v>1.23</v>
      </c>
      <c r="V142" s="118">
        <v>1.19</v>
      </c>
      <c r="W142" s="153"/>
      <c r="X142" s="153"/>
      <c r="Y142" s="173" t="s">
        <v>26</v>
      </c>
      <c r="Z142" s="117">
        <v>1.23</v>
      </c>
      <c r="AA142" s="117">
        <v>1.23</v>
      </c>
      <c r="AB142" s="117">
        <v>-0.15</v>
      </c>
      <c r="AC142" s="117">
        <v>1.19</v>
      </c>
      <c r="AD142" s="117">
        <v>1.19</v>
      </c>
      <c r="AE142" s="118">
        <v>-0.15</v>
      </c>
      <c r="AG142" s="2"/>
      <c r="AH142" s="2"/>
      <c r="AJ142" s="400" t="s">
        <v>43</v>
      </c>
      <c r="AK142" s="154">
        <v>16.579999999999998</v>
      </c>
      <c r="AL142" s="156">
        <v>45.71</v>
      </c>
      <c r="AM142" s="156">
        <v>3.48</v>
      </c>
      <c r="AN142" s="436">
        <v>119.75999999999999</v>
      </c>
      <c r="AO142" s="151"/>
      <c r="AP142" s="152"/>
      <c r="AQ142" s="173">
        <v>-0.2</v>
      </c>
      <c r="AR142" s="117">
        <v>-0.2</v>
      </c>
      <c r="AS142" s="432" t="s">
        <v>26</v>
      </c>
      <c r="AT142" s="433" t="s">
        <v>26</v>
      </c>
      <c r="AU142" s="435">
        <v>0.19999999999999998</v>
      </c>
      <c r="AV142" s="448">
        <v>78.48</v>
      </c>
      <c r="AW142" s="151"/>
      <c r="AX142" s="152"/>
      <c r="AY142" s="173">
        <v>-0.2</v>
      </c>
      <c r="AZ142" s="117">
        <v>-0.2</v>
      </c>
      <c r="BA142" s="432" t="s">
        <v>26</v>
      </c>
      <c r="BB142" s="433" t="s">
        <v>26</v>
      </c>
      <c r="BC142" s="435">
        <v>0.13</v>
      </c>
      <c r="BD142" s="432">
        <v>1.23</v>
      </c>
      <c r="BE142" s="431">
        <v>1.19</v>
      </c>
      <c r="BF142" s="403"/>
      <c r="BG142" s="403"/>
      <c r="BH142" s="437" t="s">
        <v>26</v>
      </c>
      <c r="BI142" s="435">
        <v>1.23</v>
      </c>
      <c r="BJ142" s="435">
        <v>1.23</v>
      </c>
      <c r="BK142" s="435">
        <v>-0.15</v>
      </c>
      <c r="BL142" s="435">
        <v>1.19</v>
      </c>
      <c r="BM142" s="435">
        <v>1.19</v>
      </c>
      <c r="BN142" s="436">
        <v>-0.15</v>
      </c>
    </row>
    <row r="143" spans="1:66" s="57" customFormat="1" ht="15" customHeight="1" x14ac:dyDescent="0.2">
      <c r="A143" s="169" t="s">
        <v>44</v>
      </c>
      <c r="B143" s="150">
        <v>18.420000000000002</v>
      </c>
      <c r="C143" s="117">
        <v>48.24</v>
      </c>
      <c r="D143" s="117">
        <v>3.34</v>
      </c>
      <c r="E143" s="135">
        <v>121.34</v>
      </c>
      <c r="F143" s="151"/>
      <c r="G143" s="152"/>
      <c r="H143" s="182">
        <v>-0.2</v>
      </c>
      <c r="I143" s="117">
        <v>-0.2</v>
      </c>
      <c r="J143" s="117" t="s">
        <v>26</v>
      </c>
      <c r="K143" s="117" t="s">
        <v>26</v>
      </c>
      <c r="L143" s="117">
        <v>0.19999999999999998</v>
      </c>
      <c r="M143" s="135">
        <v>83.149999999999991</v>
      </c>
      <c r="N143" s="151"/>
      <c r="O143" s="152"/>
      <c r="P143" s="182">
        <v>-0.2</v>
      </c>
      <c r="Q143" s="117">
        <v>-0.2</v>
      </c>
      <c r="R143" s="117" t="s">
        <v>26</v>
      </c>
      <c r="S143" s="117" t="s">
        <v>26</v>
      </c>
      <c r="T143" s="117">
        <v>0.28000000000000003</v>
      </c>
      <c r="U143" s="117">
        <v>1.21</v>
      </c>
      <c r="V143" s="118">
        <v>1.2</v>
      </c>
      <c r="W143" s="153"/>
      <c r="X143" s="153"/>
      <c r="Y143" s="173" t="s">
        <v>26</v>
      </c>
      <c r="Z143" s="117">
        <v>1.21</v>
      </c>
      <c r="AA143" s="117">
        <v>1.21</v>
      </c>
      <c r="AB143" s="117">
        <v>-0.15</v>
      </c>
      <c r="AC143" s="117">
        <v>1.2</v>
      </c>
      <c r="AD143" s="117">
        <v>1.2</v>
      </c>
      <c r="AE143" s="118">
        <v>-0.15</v>
      </c>
      <c r="AG143" s="2"/>
      <c r="AH143" s="2"/>
      <c r="AJ143" s="400" t="s">
        <v>44</v>
      </c>
      <c r="AK143" s="154">
        <v>17.420000000000002</v>
      </c>
      <c r="AL143" s="156">
        <v>47.74</v>
      </c>
      <c r="AM143" s="156">
        <v>3.34</v>
      </c>
      <c r="AN143" s="436">
        <v>121.34</v>
      </c>
      <c r="AO143" s="151"/>
      <c r="AP143" s="152"/>
      <c r="AQ143" s="173">
        <v>-0.2</v>
      </c>
      <c r="AR143" s="117">
        <v>-0.2</v>
      </c>
      <c r="AS143" s="443" t="s">
        <v>26</v>
      </c>
      <c r="AT143" s="435" t="s">
        <v>26</v>
      </c>
      <c r="AU143" s="435">
        <v>0.19999999999999998</v>
      </c>
      <c r="AV143" s="448">
        <v>83.149999999999991</v>
      </c>
      <c r="AW143" s="151"/>
      <c r="AX143" s="152"/>
      <c r="AY143" s="173">
        <v>-0.2</v>
      </c>
      <c r="AZ143" s="117">
        <v>-0.2</v>
      </c>
      <c r="BA143" s="443" t="s">
        <v>26</v>
      </c>
      <c r="BB143" s="435" t="s">
        <v>26</v>
      </c>
      <c r="BC143" s="435">
        <v>0.28000000000000003</v>
      </c>
      <c r="BD143" s="432">
        <v>1.21</v>
      </c>
      <c r="BE143" s="431">
        <v>1.2</v>
      </c>
      <c r="BF143" s="403"/>
      <c r="BG143" s="403"/>
      <c r="BH143" s="437" t="s">
        <v>26</v>
      </c>
      <c r="BI143" s="435">
        <v>1.21</v>
      </c>
      <c r="BJ143" s="435">
        <v>1.21</v>
      </c>
      <c r="BK143" s="433">
        <v>-0.15</v>
      </c>
      <c r="BL143" s="435">
        <v>1.2</v>
      </c>
      <c r="BM143" s="435">
        <v>1.2</v>
      </c>
      <c r="BN143" s="436">
        <v>-0.15</v>
      </c>
    </row>
    <row r="144" spans="1:66" s="57" customFormat="1" ht="15" customHeight="1" x14ac:dyDescent="0.2">
      <c r="A144" s="169" t="s">
        <v>45</v>
      </c>
      <c r="B144" s="150">
        <v>19.41</v>
      </c>
      <c r="C144" s="117">
        <v>50.470000000000006</v>
      </c>
      <c r="D144" s="117">
        <v>3.2</v>
      </c>
      <c r="E144" s="135">
        <v>122.39</v>
      </c>
      <c r="F144" s="151"/>
      <c r="G144" s="152"/>
      <c r="H144" s="182">
        <v>-0.2</v>
      </c>
      <c r="I144" s="117">
        <v>-0.2</v>
      </c>
      <c r="J144" s="117" t="s">
        <v>26</v>
      </c>
      <c r="K144" s="117" t="s">
        <v>26</v>
      </c>
      <c r="L144" s="117">
        <v>0.19999999999999998</v>
      </c>
      <c r="M144" s="135">
        <v>86.899999999999991</v>
      </c>
      <c r="N144" s="151"/>
      <c r="O144" s="152"/>
      <c r="P144" s="182">
        <v>-0.2</v>
      </c>
      <c r="Q144" s="117">
        <v>-0.2</v>
      </c>
      <c r="R144" s="117" t="s">
        <v>26</v>
      </c>
      <c r="S144" s="117" t="s">
        <v>26</v>
      </c>
      <c r="T144" s="117">
        <v>0.39</v>
      </c>
      <c r="U144" s="117">
        <v>1.18</v>
      </c>
      <c r="V144" s="118">
        <v>1.2</v>
      </c>
      <c r="W144" s="153"/>
      <c r="X144" s="153"/>
      <c r="Y144" s="173" t="s">
        <v>26</v>
      </c>
      <c r="Z144" s="117">
        <v>1.18</v>
      </c>
      <c r="AA144" s="117">
        <v>1.18</v>
      </c>
      <c r="AB144" s="117">
        <v>-0.15</v>
      </c>
      <c r="AC144" s="117">
        <v>1.2</v>
      </c>
      <c r="AD144" s="117">
        <v>1.2</v>
      </c>
      <c r="AE144" s="118">
        <v>-0.15</v>
      </c>
      <c r="AG144" s="2"/>
      <c r="AH144" s="2"/>
      <c r="AJ144" s="400" t="s">
        <v>45</v>
      </c>
      <c r="AK144" s="154">
        <v>18.41</v>
      </c>
      <c r="AL144" s="156">
        <v>49.970000000000006</v>
      </c>
      <c r="AM144" s="156">
        <v>3.2</v>
      </c>
      <c r="AN144" s="436">
        <v>122.39</v>
      </c>
      <c r="AO144" s="151"/>
      <c r="AP144" s="152"/>
      <c r="AQ144" s="173">
        <v>-0.2</v>
      </c>
      <c r="AR144" s="117">
        <v>-0.2</v>
      </c>
      <c r="AS144" s="443" t="s">
        <v>26</v>
      </c>
      <c r="AT144" s="435" t="s">
        <v>26</v>
      </c>
      <c r="AU144" s="435">
        <v>0.19999999999999998</v>
      </c>
      <c r="AV144" s="448">
        <v>86.899999999999991</v>
      </c>
      <c r="AW144" s="151"/>
      <c r="AX144" s="152"/>
      <c r="AY144" s="173">
        <v>-0.2</v>
      </c>
      <c r="AZ144" s="117">
        <v>-0.2</v>
      </c>
      <c r="BA144" s="443" t="s">
        <v>26</v>
      </c>
      <c r="BB144" s="435" t="s">
        <v>26</v>
      </c>
      <c r="BC144" s="435">
        <v>0.39</v>
      </c>
      <c r="BD144" s="432">
        <v>1.18</v>
      </c>
      <c r="BE144" s="431">
        <v>1.2</v>
      </c>
      <c r="BF144" s="403"/>
      <c r="BG144" s="403"/>
      <c r="BH144" s="437" t="s">
        <v>26</v>
      </c>
      <c r="BI144" s="435">
        <v>1.18</v>
      </c>
      <c r="BJ144" s="435">
        <v>1.18</v>
      </c>
      <c r="BK144" s="433">
        <v>-0.15</v>
      </c>
      <c r="BL144" s="435">
        <v>1.2</v>
      </c>
      <c r="BM144" s="435">
        <v>1.2</v>
      </c>
      <c r="BN144" s="436">
        <v>-0.15</v>
      </c>
    </row>
    <row r="145" spans="1:66" s="57" customFormat="1" ht="15" customHeight="1" x14ac:dyDescent="0.2">
      <c r="A145" s="169" t="s">
        <v>46</v>
      </c>
      <c r="B145" s="150">
        <v>20.07</v>
      </c>
      <c r="C145" s="117">
        <v>52.440000000000005</v>
      </c>
      <c r="D145" s="117">
        <v>3.08</v>
      </c>
      <c r="E145" s="135">
        <v>122.14999999999999</v>
      </c>
      <c r="F145" s="151"/>
      <c r="G145" s="152"/>
      <c r="H145" s="182">
        <v>-0.2</v>
      </c>
      <c r="I145" s="117">
        <v>-0.2</v>
      </c>
      <c r="J145" s="117" t="s">
        <v>26</v>
      </c>
      <c r="K145" s="117" t="s">
        <v>26</v>
      </c>
      <c r="L145" s="117">
        <v>0.24999999999999997</v>
      </c>
      <c r="M145" s="135">
        <v>87.89</v>
      </c>
      <c r="N145" s="151"/>
      <c r="O145" s="152"/>
      <c r="P145" s="182">
        <v>-0.2</v>
      </c>
      <c r="Q145" s="117">
        <v>-0.2</v>
      </c>
      <c r="R145" s="117" t="s">
        <v>26</v>
      </c>
      <c r="S145" s="117" t="s">
        <v>26</v>
      </c>
      <c r="T145" s="117">
        <v>0.4</v>
      </c>
      <c r="U145" s="117">
        <v>1.1299999999999999</v>
      </c>
      <c r="V145" s="118">
        <v>1.18</v>
      </c>
      <c r="W145" s="153"/>
      <c r="X145" s="153"/>
      <c r="Y145" s="173" t="s">
        <v>26</v>
      </c>
      <c r="Z145" s="117">
        <v>1.1299999999999999</v>
      </c>
      <c r="AA145" s="117">
        <v>1.1299999999999999</v>
      </c>
      <c r="AB145" s="117">
        <v>-0.15</v>
      </c>
      <c r="AC145" s="117">
        <v>1.18</v>
      </c>
      <c r="AD145" s="117">
        <v>1.18</v>
      </c>
      <c r="AE145" s="118">
        <v>-0.1</v>
      </c>
      <c r="AG145" s="2"/>
      <c r="AH145" s="2"/>
      <c r="AJ145" s="400" t="s">
        <v>46</v>
      </c>
      <c r="AK145" s="154">
        <v>19.07</v>
      </c>
      <c r="AL145" s="156">
        <v>51.940000000000005</v>
      </c>
      <c r="AM145" s="156">
        <v>3.08</v>
      </c>
      <c r="AN145" s="436">
        <v>122.14999999999999</v>
      </c>
      <c r="AO145" s="151"/>
      <c r="AP145" s="152"/>
      <c r="AQ145" s="173">
        <v>-0.2</v>
      </c>
      <c r="AR145" s="117">
        <v>-0.2</v>
      </c>
      <c r="AS145" s="443" t="s">
        <v>26</v>
      </c>
      <c r="AT145" s="435" t="s">
        <v>26</v>
      </c>
      <c r="AU145" s="435">
        <v>0.24999999999999997</v>
      </c>
      <c r="AV145" s="448">
        <v>87.89</v>
      </c>
      <c r="AW145" s="151"/>
      <c r="AX145" s="152"/>
      <c r="AY145" s="173">
        <v>-0.2</v>
      </c>
      <c r="AZ145" s="117">
        <v>-0.2</v>
      </c>
      <c r="BA145" s="443" t="s">
        <v>26</v>
      </c>
      <c r="BB145" s="435" t="s">
        <v>26</v>
      </c>
      <c r="BC145" s="435">
        <v>0.4</v>
      </c>
      <c r="BD145" s="432">
        <v>1.1299999999999999</v>
      </c>
      <c r="BE145" s="431">
        <v>1.18</v>
      </c>
      <c r="BF145" s="403"/>
      <c r="BG145" s="403"/>
      <c r="BH145" s="437" t="s">
        <v>26</v>
      </c>
      <c r="BI145" s="435">
        <v>1.1299999999999999</v>
      </c>
      <c r="BJ145" s="435">
        <v>1.1299999999999999</v>
      </c>
      <c r="BK145" s="433">
        <v>-0.15</v>
      </c>
      <c r="BL145" s="435">
        <v>1.18</v>
      </c>
      <c r="BM145" s="435">
        <v>1.18</v>
      </c>
      <c r="BN145" s="436">
        <v>-0.1</v>
      </c>
    </row>
    <row r="146" spans="1:66" s="57" customFormat="1" ht="15" customHeight="1" x14ac:dyDescent="0.2">
      <c r="A146" s="169" t="s">
        <v>47</v>
      </c>
      <c r="B146" s="150">
        <v>20.7</v>
      </c>
      <c r="C146" s="117">
        <v>54.31</v>
      </c>
      <c r="D146" s="117">
        <v>2.98</v>
      </c>
      <c r="E146" s="135">
        <v>118.72</v>
      </c>
      <c r="F146" s="151"/>
      <c r="G146" s="152"/>
      <c r="H146" s="182">
        <v>-0.2</v>
      </c>
      <c r="I146" s="117">
        <v>-0.2</v>
      </c>
      <c r="J146" s="117" t="s">
        <v>26</v>
      </c>
      <c r="K146" s="117" t="s">
        <v>26</v>
      </c>
      <c r="L146" s="117">
        <v>0.35</v>
      </c>
      <c r="M146" s="135">
        <v>84.44</v>
      </c>
      <c r="N146" s="151"/>
      <c r="O146" s="152"/>
      <c r="P146" s="182">
        <v>-0.2</v>
      </c>
      <c r="Q146" s="117">
        <v>-0.2</v>
      </c>
      <c r="R146" s="117" t="s">
        <v>26</v>
      </c>
      <c r="S146" s="117" t="s">
        <v>26</v>
      </c>
      <c r="T146" s="117">
        <v>0.4</v>
      </c>
      <c r="U146" s="117">
        <v>1.0999999999999999</v>
      </c>
      <c r="V146" s="135">
        <v>1.1599999999999999</v>
      </c>
      <c r="W146" s="334">
        <v>0</v>
      </c>
      <c r="X146" s="335">
        <v>0</v>
      </c>
      <c r="Y146" s="182" t="s">
        <v>26</v>
      </c>
      <c r="Z146" s="117">
        <v>1.0999999999999999</v>
      </c>
      <c r="AA146" s="117">
        <v>1.0999999999999999</v>
      </c>
      <c r="AB146" s="117">
        <v>-0.15</v>
      </c>
      <c r="AC146" s="117">
        <v>1.1599999999999999</v>
      </c>
      <c r="AD146" s="117">
        <v>1.1599999999999999</v>
      </c>
      <c r="AE146" s="118">
        <v>-0.1</v>
      </c>
      <c r="AG146" s="2"/>
      <c r="AH146" s="2"/>
      <c r="AJ146" s="400" t="s">
        <v>47</v>
      </c>
      <c r="AK146" s="154">
        <v>19.7</v>
      </c>
      <c r="AL146" s="156">
        <v>54.46</v>
      </c>
      <c r="AM146" s="156">
        <v>2.98</v>
      </c>
      <c r="AN146" s="436">
        <v>118.72</v>
      </c>
      <c r="AO146" s="151"/>
      <c r="AP146" s="152"/>
      <c r="AQ146" s="173">
        <v>-0.2</v>
      </c>
      <c r="AR146" s="117">
        <v>-0.2</v>
      </c>
      <c r="AS146" s="443" t="s">
        <v>26</v>
      </c>
      <c r="AT146" s="435" t="s">
        <v>26</v>
      </c>
      <c r="AU146" s="435">
        <v>0.35</v>
      </c>
      <c r="AV146" s="448">
        <v>84.44</v>
      </c>
      <c r="AW146" s="151"/>
      <c r="AX146" s="152"/>
      <c r="AY146" s="173">
        <v>-0.2</v>
      </c>
      <c r="AZ146" s="117">
        <v>-0.2</v>
      </c>
      <c r="BA146" s="443" t="s">
        <v>26</v>
      </c>
      <c r="BB146" s="435" t="s">
        <v>26</v>
      </c>
      <c r="BC146" s="435">
        <v>0.4</v>
      </c>
      <c r="BD146" s="432">
        <v>1.0999999999999999</v>
      </c>
      <c r="BE146" s="434">
        <v>1.1599999999999999</v>
      </c>
      <c r="BF146" s="449">
        <v>0</v>
      </c>
      <c r="BG146" s="449">
        <v>0</v>
      </c>
      <c r="BH146" s="443" t="s">
        <v>26</v>
      </c>
      <c r="BI146" s="435">
        <v>1.0999999999999999</v>
      </c>
      <c r="BJ146" s="435">
        <v>1.0999999999999999</v>
      </c>
      <c r="BK146" s="433">
        <v>-0.15</v>
      </c>
      <c r="BL146" s="435">
        <v>1.1599999999999999</v>
      </c>
      <c r="BM146" s="435">
        <v>1.1599999999999999</v>
      </c>
      <c r="BN146" s="436">
        <v>-0.1</v>
      </c>
    </row>
    <row r="147" spans="1:66" s="57" customFormat="1" ht="15" customHeight="1" x14ac:dyDescent="0.2">
      <c r="A147" s="169" t="s">
        <v>48</v>
      </c>
      <c r="B147" s="150">
        <v>21.3</v>
      </c>
      <c r="C147" s="117">
        <v>55.85</v>
      </c>
      <c r="D147" s="117">
        <v>2.9</v>
      </c>
      <c r="E147" s="135">
        <v>113.31</v>
      </c>
      <c r="F147" s="151"/>
      <c r="G147" s="152"/>
      <c r="H147" s="182">
        <v>-0.2</v>
      </c>
      <c r="I147" s="117">
        <v>-0.2</v>
      </c>
      <c r="J147" s="117" t="s">
        <v>26</v>
      </c>
      <c r="K147" s="117" t="s">
        <v>26</v>
      </c>
      <c r="L147" s="117">
        <v>0.4</v>
      </c>
      <c r="M147" s="135">
        <v>79.34</v>
      </c>
      <c r="N147" s="151"/>
      <c r="O147" s="152"/>
      <c r="P147" s="182">
        <v>-0.2</v>
      </c>
      <c r="Q147" s="117">
        <v>-0.2</v>
      </c>
      <c r="R147" s="117" t="s">
        <v>26</v>
      </c>
      <c r="S147" s="117" t="s">
        <v>26</v>
      </c>
      <c r="T147" s="117">
        <v>0.4</v>
      </c>
      <c r="U147" s="117">
        <v>1.0799999999999998</v>
      </c>
      <c r="V147" s="118">
        <v>1.1199999999999999</v>
      </c>
      <c r="W147" s="153"/>
      <c r="X147" s="153"/>
      <c r="Y147" s="173" t="s">
        <v>26</v>
      </c>
      <c r="Z147" s="117">
        <v>1.0799999999999998</v>
      </c>
      <c r="AA147" s="117">
        <v>1.0799999999999998</v>
      </c>
      <c r="AB147" s="117">
        <v>-0.15</v>
      </c>
      <c r="AC147" s="117">
        <v>1.1199999999999999</v>
      </c>
      <c r="AD147" s="117">
        <v>1.1199999999999999</v>
      </c>
      <c r="AE147" s="118">
        <v>-0.1</v>
      </c>
      <c r="AG147" s="2"/>
      <c r="AH147" s="2"/>
      <c r="AJ147" s="400" t="s">
        <v>48</v>
      </c>
      <c r="AK147" s="154">
        <v>20.3</v>
      </c>
      <c r="AL147" s="156">
        <v>56</v>
      </c>
      <c r="AM147" s="156">
        <v>2.9</v>
      </c>
      <c r="AN147" s="436">
        <v>113.31</v>
      </c>
      <c r="AO147" s="151"/>
      <c r="AP147" s="152"/>
      <c r="AQ147" s="173">
        <v>-0.2</v>
      </c>
      <c r="AR147" s="117">
        <v>-0.2</v>
      </c>
      <c r="AS147" s="443" t="s">
        <v>26</v>
      </c>
      <c r="AT147" s="435" t="s">
        <v>26</v>
      </c>
      <c r="AU147" s="435">
        <v>0.4</v>
      </c>
      <c r="AV147" s="448">
        <v>79.34</v>
      </c>
      <c r="AW147" s="151"/>
      <c r="AX147" s="152"/>
      <c r="AY147" s="173">
        <v>-0.2</v>
      </c>
      <c r="AZ147" s="117">
        <v>-0.2</v>
      </c>
      <c r="BA147" s="443" t="s">
        <v>26</v>
      </c>
      <c r="BB147" s="435" t="s">
        <v>26</v>
      </c>
      <c r="BC147" s="435">
        <v>0.4</v>
      </c>
      <c r="BD147" s="432">
        <v>1.0799999999999998</v>
      </c>
      <c r="BE147" s="431">
        <v>1.1199999999999999</v>
      </c>
      <c r="BF147" s="403"/>
      <c r="BG147" s="403"/>
      <c r="BH147" s="437" t="s">
        <v>26</v>
      </c>
      <c r="BI147" s="435">
        <v>1.0799999999999998</v>
      </c>
      <c r="BJ147" s="435">
        <v>1.0799999999999998</v>
      </c>
      <c r="BK147" s="433">
        <v>-0.15</v>
      </c>
      <c r="BL147" s="435">
        <v>1.1199999999999999</v>
      </c>
      <c r="BM147" s="435">
        <v>1.1199999999999999</v>
      </c>
      <c r="BN147" s="436">
        <v>-0.1</v>
      </c>
    </row>
    <row r="148" spans="1:66" s="57" customFormat="1" ht="15" customHeight="1" x14ac:dyDescent="0.2">
      <c r="A148" s="169" t="s">
        <v>49</v>
      </c>
      <c r="B148" s="150">
        <v>22.01</v>
      </c>
      <c r="C148" s="117">
        <v>57.09</v>
      </c>
      <c r="D148" s="117">
        <v>2.8</v>
      </c>
      <c r="E148" s="135">
        <v>105.41</v>
      </c>
      <c r="F148" s="151"/>
      <c r="G148" s="152"/>
      <c r="H148" s="182">
        <v>-0.2</v>
      </c>
      <c r="I148" s="117">
        <v>-0.2</v>
      </c>
      <c r="J148" s="117" t="s">
        <v>26</v>
      </c>
      <c r="K148" s="117" t="s">
        <v>26</v>
      </c>
      <c r="L148" s="117">
        <v>0.4</v>
      </c>
      <c r="M148" s="135">
        <v>71.739999999999995</v>
      </c>
      <c r="N148" s="151"/>
      <c r="O148" s="152"/>
      <c r="P148" s="182">
        <v>-0.2</v>
      </c>
      <c r="Q148" s="117">
        <v>-0.2</v>
      </c>
      <c r="R148" s="117" t="s">
        <v>26</v>
      </c>
      <c r="S148" s="117" t="s">
        <v>26</v>
      </c>
      <c r="T148" s="117">
        <v>0.4</v>
      </c>
      <c r="U148" s="117">
        <v>1.05</v>
      </c>
      <c r="V148" s="118">
        <v>1.07</v>
      </c>
      <c r="W148" s="153"/>
      <c r="X148" s="153"/>
      <c r="Y148" s="173" t="s">
        <v>26</v>
      </c>
      <c r="Z148" s="117">
        <v>1.05</v>
      </c>
      <c r="AA148" s="117">
        <v>1.05</v>
      </c>
      <c r="AB148" s="117">
        <v>-0.15</v>
      </c>
      <c r="AC148" s="117">
        <v>1.07</v>
      </c>
      <c r="AD148" s="117">
        <v>1.07</v>
      </c>
      <c r="AE148" s="118">
        <v>-0.1</v>
      </c>
      <c r="AG148" s="2"/>
      <c r="AH148" s="2"/>
      <c r="AJ148" s="400" t="s">
        <v>49</v>
      </c>
      <c r="AK148" s="154">
        <v>21.01</v>
      </c>
      <c r="AL148" s="450">
        <v>57.24</v>
      </c>
      <c r="AM148" s="156">
        <v>2.8</v>
      </c>
      <c r="AN148" s="436">
        <v>105.41</v>
      </c>
      <c r="AO148" s="151"/>
      <c r="AP148" s="152"/>
      <c r="AQ148" s="173">
        <v>-0.2</v>
      </c>
      <c r="AR148" s="117">
        <v>-0.2</v>
      </c>
      <c r="AS148" s="443" t="s">
        <v>26</v>
      </c>
      <c r="AT148" s="435" t="s">
        <v>26</v>
      </c>
      <c r="AU148" s="435">
        <v>0.4</v>
      </c>
      <c r="AV148" s="448">
        <v>71.739999999999995</v>
      </c>
      <c r="AW148" s="151"/>
      <c r="AX148" s="152"/>
      <c r="AY148" s="173">
        <v>-0.2</v>
      </c>
      <c r="AZ148" s="117">
        <v>-0.2</v>
      </c>
      <c r="BA148" s="443" t="s">
        <v>26</v>
      </c>
      <c r="BB148" s="435" t="s">
        <v>26</v>
      </c>
      <c r="BC148" s="435">
        <v>0.4</v>
      </c>
      <c r="BD148" s="432">
        <v>1.05</v>
      </c>
      <c r="BE148" s="431">
        <v>1.07</v>
      </c>
      <c r="BF148" s="403"/>
      <c r="BG148" s="403"/>
      <c r="BH148" s="437" t="s">
        <v>26</v>
      </c>
      <c r="BI148" s="435">
        <v>1.05</v>
      </c>
      <c r="BJ148" s="435">
        <v>1.05</v>
      </c>
      <c r="BK148" s="433">
        <v>-0.15</v>
      </c>
      <c r="BL148" s="435">
        <v>1.07</v>
      </c>
      <c r="BM148" s="435">
        <v>1.07</v>
      </c>
      <c r="BN148" s="436">
        <v>-0.1</v>
      </c>
    </row>
    <row r="149" spans="1:66" s="57" customFormat="1" ht="15" customHeight="1" x14ac:dyDescent="0.2">
      <c r="A149" s="169" t="s">
        <v>50</v>
      </c>
      <c r="B149" s="150">
        <v>22.93</v>
      </c>
      <c r="C149" s="117">
        <v>58.150000000000006</v>
      </c>
      <c r="D149" s="117">
        <v>2.69</v>
      </c>
      <c r="E149" s="135">
        <v>97.89</v>
      </c>
      <c r="F149" s="151"/>
      <c r="G149" s="152"/>
      <c r="H149" s="182">
        <v>-0.2</v>
      </c>
      <c r="I149" s="117">
        <v>-0.2</v>
      </c>
      <c r="J149" s="117" t="s">
        <v>26</v>
      </c>
      <c r="K149" s="117" t="s">
        <v>26</v>
      </c>
      <c r="L149" s="117">
        <v>0.39</v>
      </c>
      <c r="M149" s="135">
        <v>67.2</v>
      </c>
      <c r="N149" s="151"/>
      <c r="O149" s="152"/>
      <c r="P149" s="182">
        <v>-0.2</v>
      </c>
      <c r="Q149" s="117">
        <v>-0.2</v>
      </c>
      <c r="R149" s="117" t="s">
        <v>26</v>
      </c>
      <c r="S149" s="117" t="s">
        <v>26</v>
      </c>
      <c r="T149" s="117">
        <v>0.41000000000000003</v>
      </c>
      <c r="U149" s="117">
        <v>1.02</v>
      </c>
      <c r="V149" s="118">
        <v>1.02</v>
      </c>
      <c r="W149" s="153"/>
      <c r="X149" s="153"/>
      <c r="Y149" s="173" t="s">
        <v>26</v>
      </c>
      <c r="Z149" s="117">
        <v>1.02</v>
      </c>
      <c r="AA149" s="117">
        <v>1.02</v>
      </c>
      <c r="AB149" s="117">
        <v>-0.1</v>
      </c>
      <c r="AC149" s="117">
        <v>1.02</v>
      </c>
      <c r="AD149" s="117">
        <v>1.02</v>
      </c>
      <c r="AE149" s="118">
        <v>-0.1</v>
      </c>
      <c r="AG149" s="2"/>
      <c r="AH149" s="2"/>
      <c r="AJ149" s="400" t="s">
        <v>50</v>
      </c>
      <c r="AK149" s="154">
        <v>21.93</v>
      </c>
      <c r="AL149" s="156">
        <v>58.300000000000004</v>
      </c>
      <c r="AM149" s="156">
        <v>2.69</v>
      </c>
      <c r="AN149" s="436">
        <v>97.89</v>
      </c>
      <c r="AO149" s="151"/>
      <c r="AP149" s="152"/>
      <c r="AQ149" s="173">
        <v>-0.2</v>
      </c>
      <c r="AR149" s="117">
        <v>-0.2</v>
      </c>
      <c r="AS149" s="443" t="s">
        <v>26</v>
      </c>
      <c r="AT149" s="435" t="s">
        <v>26</v>
      </c>
      <c r="AU149" s="435">
        <v>0.39</v>
      </c>
      <c r="AV149" s="448">
        <v>67.2</v>
      </c>
      <c r="AW149" s="151"/>
      <c r="AX149" s="152"/>
      <c r="AY149" s="173">
        <v>-0.2</v>
      </c>
      <c r="AZ149" s="117">
        <v>-0.2</v>
      </c>
      <c r="BA149" s="443" t="s">
        <v>26</v>
      </c>
      <c r="BB149" s="435" t="s">
        <v>26</v>
      </c>
      <c r="BC149" s="435">
        <v>0.41000000000000003</v>
      </c>
      <c r="BD149" s="432">
        <v>1.02</v>
      </c>
      <c r="BE149" s="431">
        <v>1.02</v>
      </c>
      <c r="BF149" s="403"/>
      <c r="BG149" s="403"/>
      <c r="BH149" s="437" t="s">
        <v>26</v>
      </c>
      <c r="BI149" s="435">
        <v>1.02</v>
      </c>
      <c r="BJ149" s="435">
        <v>1.02</v>
      </c>
      <c r="BK149" s="433">
        <v>-0.1</v>
      </c>
      <c r="BL149" s="435">
        <v>1.02</v>
      </c>
      <c r="BM149" s="435">
        <v>1.02</v>
      </c>
      <c r="BN149" s="436">
        <v>-0.1</v>
      </c>
    </row>
    <row r="150" spans="1:66" s="57" customFormat="1" ht="15" customHeight="1" x14ac:dyDescent="0.2">
      <c r="A150" s="169" t="s">
        <v>51</v>
      </c>
      <c r="B150" s="150">
        <v>23.95</v>
      </c>
      <c r="C150" s="117">
        <v>58.78</v>
      </c>
      <c r="D150" s="117">
        <v>2.56</v>
      </c>
      <c r="E150" s="135">
        <v>92.33</v>
      </c>
      <c r="F150" s="151"/>
      <c r="G150" s="152"/>
      <c r="H150" s="182">
        <v>-0.2</v>
      </c>
      <c r="I150" s="117">
        <v>-0.2</v>
      </c>
      <c r="J150" s="117" t="s">
        <v>26</v>
      </c>
      <c r="K150" s="117" t="s">
        <v>26</v>
      </c>
      <c r="L150" s="117">
        <v>0.39</v>
      </c>
      <c r="M150" s="135">
        <v>69.149999999999991</v>
      </c>
      <c r="N150" s="151"/>
      <c r="O150" s="152"/>
      <c r="P150" s="182">
        <v>-0.2</v>
      </c>
      <c r="Q150" s="117">
        <v>-0.2</v>
      </c>
      <c r="R150" s="117" t="s">
        <v>26</v>
      </c>
      <c r="S150" s="117" t="s">
        <v>26</v>
      </c>
      <c r="T150" s="117">
        <v>0.41000000000000003</v>
      </c>
      <c r="U150" s="117">
        <v>1</v>
      </c>
      <c r="V150" s="118">
        <v>0.97</v>
      </c>
      <c r="W150" s="153"/>
      <c r="X150" s="153"/>
      <c r="Y150" s="173" t="s">
        <v>26</v>
      </c>
      <c r="Z150" s="117">
        <v>1</v>
      </c>
      <c r="AA150" s="117">
        <v>1</v>
      </c>
      <c r="AB150" s="117">
        <v>-0.1</v>
      </c>
      <c r="AC150" s="117">
        <v>0.97</v>
      </c>
      <c r="AD150" s="117">
        <v>0.97</v>
      </c>
      <c r="AE150" s="118">
        <v>-0.1</v>
      </c>
      <c r="AG150" s="2"/>
      <c r="AH150" s="2"/>
      <c r="AJ150" s="400" t="s">
        <v>51</v>
      </c>
      <c r="AK150" s="154">
        <v>22.95</v>
      </c>
      <c r="AL150" s="156">
        <v>58.93</v>
      </c>
      <c r="AM150" s="156">
        <v>2.56</v>
      </c>
      <c r="AN150" s="436">
        <v>92.33</v>
      </c>
      <c r="AO150" s="151"/>
      <c r="AP150" s="152"/>
      <c r="AQ150" s="173">
        <v>-0.2</v>
      </c>
      <c r="AR150" s="117">
        <v>-0.2</v>
      </c>
      <c r="AS150" s="443" t="s">
        <v>26</v>
      </c>
      <c r="AT150" s="435" t="s">
        <v>26</v>
      </c>
      <c r="AU150" s="435">
        <v>0.39</v>
      </c>
      <c r="AV150" s="448">
        <v>69.149999999999991</v>
      </c>
      <c r="AW150" s="151"/>
      <c r="AX150" s="152"/>
      <c r="AY150" s="173">
        <v>-0.2</v>
      </c>
      <c r="AZ150" s="117">
        <v>-0.2</v>
      </c>
      <c r="BA150" s="443" t="s">
        <v>26</v>
      </c>
      <c r="BB150" s="435" t="s">
        <v>26</v>
      </c>
      <c r="BC150" s="435">
        <v>0.41000000000000003</v>
      </c>
      <c r="BD150" s="432">
        <v>1</v>
      </c>
      <c r="BE150" s="431">
        <v>0.97</v>
      </c>
      <c r="BF150" s="403"/>
      <c r="BG150" s="403"/>
      <c r="BH150" s="437" t="s">
        <v>26</v>
      </c>
      <c r="BI150" s="435">
        <v>1</v>
      </c>
      <c r="BJ150" s="435">
        <v>1</v>
      </c>
      <c r="BK150" s="433">
        <v>-0.1</v>
      </c>
      <c r="BL150" s="435">
        <v>0.97</v>
      </c>
      <c r="BM150" s="435">
        <v>0.97</v>
      </c>
      <c r="BN150" s="436">
        <v>-0.1</v>
      </c>
    </row>
    <row r="151" spans="1:66" s="57" customFormat="1" ht="15" customHeight="1" x14ac:dyDescent="0.2">
      <c r="A151" s="169" t="s">
        <v>52</v>
      </c>
      <c r="B151" s="150">
        <v>25.27</v>
      </c>
      <c r="C151" s="117">
        <v>59.470000000000006</v>
      </c>
      <c r="D151" s="117">
        <v>2.44</v>
      </c>
      <c r="E151" s="135">
        <v>90.19</v>
      </c>
      <c r="F151" s="151"/>
      <c r="G151" s="152"/>
      <c r="H151" s="182">
        <v>-0.2</v>
      </c>
      <c r="I151" s="117">
        <v>-0.2</v>
      </c>
      <c r="J151" s="117" t="s">
        <v>26</v>
      </c>
      <c r="K151" s="117" t="s">
        <v>26</v>
      </c>
      <c r="L151" s="117">
        <v>0.39</v>
      </c>
      <c r="M151" s="135">
        <v>83.16</v>
      </c>
      <c r="N151" s="151"/>
      <c r="O151" s="152"/>
      <c r="P151" s="182">
        <v>-0.2</v>
      </c>
      <c r="Q151" s="117">
        <v>-0.2</v>
      </c>
      <c r="R151" s="117" t="s">
        <v>26</v>
      </c>
      <c r="S151" s="117" t="s">
        <v>26</v>
      </c>
      <c r="T151" s="117">
        <v>0.41000000000000003</v>
      </c>
      <c r="U151" s="117">
        <v>0.96</v>
      </c>
      <c r="V151" s="118">
        <v>0.92999999999999994</v>
      </c>
      <c r="W151" s="153"/>
      <c r="X151" s="153"/>
      <c r="Y151" s="173" t="s">
        <v>26</v>
      </c>
      <c r="Z151" s="117">
        <v>0.96</v>
      </c>
      <c r="AA151" s="117">
        <v>0.96</v>
      </c>
      <c r="AB151" s="117">
        <v>-0.1</v>
      </c>
      <c r="AC151" s="117">
        <v>0.92999999999999994</v>
      </c>
      <c r="AD151" s="117">
        <v>0.92999999999999994</v>
      </c>
      <c r="AE151" s="118">
        <v>-0.1</v>
      </c>
      <c r="AG151" s="2"/>
      <c r="AH151" s="2"/>
      <c r="AJ151" s="400" t="s">
        <v>52</v>
      </c>
      <c r="AK151" s="154">
        <v>24.27</v>
      </c>
      <c r="AL151" s="156">
        <v>59.620000000000005</v>
      </c>
      <c r="AM151" s="156">
        <v>2.44</v>
      </c>
      <c r="AN151" s="436">
        <v>90.19</v>
      </c>
      <c r="AO151" s="151"/>
      <c r="AP151" s="152"/>
      <c r="AQ151" s="173">
        <v>-0.2</v>
      </c>
      <c r="AR151" s="117">
        <v>-0.2</v>
      </c>
      <c r="AS151" s="443" t="s">
        <v>26</v>
      </c>
      <c r="AT151" s="435" t="s">
        <v>26</v>
      </c>
      <c r="AU151" s="435">
        <v>0.39</v>
      </c>
      <c r="AV151" s="448">
        <v>83.16</v>
      </c>
      <c r="AW151" s="151"/>
      <c r="AX151" s="152"/>
      <c r="AY151" s="173">
        <v>-0.2</v>
      </c>
      <c r="AZ151" s="117">
        <v>-0.2</v>
      </c>
      <c r="BA151" s="443" t="s">
        <v>26</v>
      </c>
      <c r="BB151" s="435" t="s">
        <v>26</v>
      </c>
      <c r="BC151" s="435">
        <v>0.41000000000000003</v>
      </c>
      <c r="BD151" s="432">
        <v>0.96</v>
      </c>
      <c r="BE151" s="431">
        <v>0.92999999999999994</v>
      </c>
      <c r="BF151" s="403"/>
      <c r="BG151" s="403"/>
      <c r="BH151" s="437" t="s">
        <v>26</v>
      </c>
      <c r="BI151" s="435">
        <v>0.96</v>
      </c>
      <c r="BJ151" s="435">
        <v>0.96</v>
      </c>
      <c r="BK151" s="433">
        <v>-0.1</v>
      </c>
      <c r="BL151" s="435">
        <v>0.92999999999999994</v>
      </c>
      <c r="BM151" s="435">
        <v>0.92999999999999994</v>
      </c>
      <c r="BN151" s="436">
        <v>-0.1</v>
      </c>
    </row>
    <row r="152" spans="1:66" s="57" customFormat="1" ht="15" customHeight="1" x14ac:dyDescent="0.2">
      <c r="A152" s="169" t="s">
        <v>53</v>
      </c>
      <c r="B152" s="150">
        <v>25.04</v>
      </c>
      <c r="C152" s="117">
        <v>60.24</v>
      </c>
      <c r="D152" s="117">
        <v>2.33</v>
      </c>
      <c r="E152" s="135">
        <v>87.47</v>
      </c>
      <c r="F152" s="151"/>
      <c r="G152" s="152"/>
      <c r="H152" s="182">
        <v>-0.2</v>
      </c>
      <c r="I152" s="117">
        <v>-0.2</v>
      </c>
      <c r="J152" s="117" t="s">
        <v>26</v>
      </c>
      <c r="K152" s="117" t="s">
        <v>26</v>
      </c>
      <c r="L152" s="117">
        <v>0.37</v>
      </c>
      <c r="M152" s="135">
        <v>97.899999999999991</v>
      </c>
      <c r="N152" s="151"/>
      <c r="O152" s="152"/>
      <c r="P152" s="182">
        <v>-0.2</v>
      </c>
      <c r="Q152" s="117">
        <v>-0.2</v>
      </c>
      <c r="R152" s="117" t="s">
        <v>26</v>
      </c>
      <c r="S152" s="117" t="s">
        <v>26</v>
      </c>
      <c r="T152" s="117">
        <v>0.4</v>
      </c>
      <c r="U152" s="117">
        <v>0.96</v>
      </c>
      <c r="V152" s="118">
        <v>0.90999999999999992</v>
      </c>
      <c r="W152" s="153"/>
      <c r="X152" s="153"/>
      <c r="Y152" s="173" t="s">
        <v>26</v>
      </c>
      <c r="Z152" s="117">
        <v>0.96</v>
      </c>
      <c r="AA152" s="117">
        <v>0.96</v>
      </c>
      <c r="AB152" s="117">
        <v>-0.1</v>
      </c>
      <c r="AC152" s="117">
        <v>0.90999999999999992</v>
      </c>
      <c r="AD152" s="117">
        <v>0.90999999999999992</v>
      </c>
      <c r="AE152" s="118">
        <v>-0.1</v>
      </c>
      <c r="AG152" s="2"/>
      <c r="AH152" s="2"/>
      <c r="AJ152" s="400" t="s">
        <v>53</v>
      </c>
      <c r="AK152" s="154">
        <v>24.04</v>
      </c>
      <c r="AL152" s="156">
        <v>60.39</v>
      </c>
      <c r="AM152" s="156">
        <v>2.33</v>
      </c>
      <c r="AN152" s="436">
        <v>87.47</v>
      </c>
      <c r="AO152" s="151"/>
      <c r="AP152" s="152"/>
      <c r="AQ152" s="173">
        <v>-0.2</v>
      </c>
      <c r="AR152" s="117">
        <v>-0.2</v>
      </c>
      <c r="AS152" s="443" t="s">
        <v>26</v>
      </c>
      <c r="AT152" s="435" t="s">
        <v>26</v>
      </c>
      <c r="AU152" s="435">
        <v>0.37</v>
      </c>
      <c r="AV152" s="448">
        <v>97.899999999999991</v>
      </c>
      <c r="AW152" s="151"/>
      <c r="AX152" s="152"/>
      <c r="AY152" s="173">
        <v>-0.2</v>
      </c>
      <c r="AZ152" s="117">
        <v>-0.2</v>
      </c>
      <c r="BA152" s="443" t="s">
        <v>26</v>
      </c>
      <c r="BB152" s="435" t="s">
        <v>26</v>
      </c>
      <c r="BC152" s="435">
        <v>0.4</v>
      </c>
      <c r="BD152" s="432">
        <v>0.96</v>
      </c>
      <c r="BE152" s="431">
        <v>0.90999999999999992</v>
      </c>
      <c r="BF152" s="403"/>
      <c r="BG152" s="403"/>
      <c r="BH152" s="437" t="s">
        <v>26</v>
      </c>
      <c r="BI152" s="435">
        <v>0.96</v>
      </c>
      <c r="BJ152" s="435">
        <v>0.96</v>
      </c>
      <c r="BK152" s="433">
        <v>-0.1</v>
      </c>
      <c r="BL152" s="435">
        <v>0.90999999999999992</v>
      </c>
      <c r="BM152" s="435">
        <v>0.90999999999999992</v>
      </c>
      <c r="BN152" s="436">
        <v>-0.1</v>
      </c>
    </row>
    <row r="153" spans="1:66" s="57" customFormat="1" ht="15" customHeight="1" x14ac:dyDescent="0.2">
      <c r="A153" s="169" t="s">
        <v>54</v>
      </c>
      <c r="B153" s="150">
        <v>24.33</v>
      </c>
      <c r="C153" s="117">
        <v>61.46</v>
      </c>
      <c r="D153" s="117">
        <v>2.3199999999999998</v>
      </c>
      <c r="E153" s="135">
        <v>83.39</v>
      </c>
      <c r="F153" s="151"/>
      <c r="G153" s="152"/>
      <c r="H153" s="182">
        <v>-0.2</v>
      </c>
      <c r="I153" s="117">
        <v>-0.2</v>
      </c>
      <c r="J153" s="117" t="s">
        <v>26</v>
      </c>
      <c r="K153" s="117" t="s">
        <v>26</v>
      </c>
      <c r="L153" s="117">
        <v>0.19999999999999998</v>
      </c>
      <c r="M153" s="135">
        <v>96.399999999999991</v>
      </c>
      <c r="N153" s="151"/>
      <c r="O153" s="152"/>
      <c r="P153" s="182">
        <v>-0.2</v>
      </c>
      <c r="Q153" s="117">
        <v>-0.2</v>
      </c>
      <c r="R153" s="117" t="s">
        <v>26</v>
      </c>
      <c r="S153" s="117" t="s">
        <v>26</v>
      </c>
      <c r="T153" s="117">
        <v>0.4</v>
      </c>
      <c r="U153" s="117">
        <v>0.89999999999999991</v>
      </c>
      <c r="V153" s="118">
        <v>0.91999999999999993</v>
      </c>
      <c r="W153" s="153"/>
      <c r="X153" s="153"/>
      <c r="Y153" s="173" t="s">
        <v>26</v>
      </c>
      <c r="Z153" s="117">
        <v>0.89999999999999991</v>
      </c>
      <c r="AA153" s="117">
        <v>0.89999999999999991</v>
      </c>
      <c r="AB153" s="117">
        <v>-0.1</v>
      </c>
      <c r="AC153" s="117">
        <v>0.91999999999999993</v>
      </c>
      <c r="AD153" s="117">
        <v>0.91999999999999993</v>
      </c>
      <c r="AE153" s="118">
        <v>-0.1</v>
      </c>
      <c r="AG153" s="2"/>
      <c r="AH153" s="2"/>
      <c r="AJ153" s="400" t="s">
        <v>54</v>
      </c>
      <c r="AK153" s="154">
        <v>23.33</v>
      </c>
      <c r="AL153" s="156">
        <v>61.61</v>
      </c>
      <c r="AM153" s="156">
        <v>2.3199999999999998</v>
      </c>
      <c r="AN153" s="436">
        <v>83.39</v>
      </c>
      <c r="AO153" s="151"/>
      <c r="AP153" s="152"/>
      <c r="AQ153" s="173">
        <v>-0.2</v>
      </c>
      <c r="AR153" s="117">
        <v>-0.2</v>
      </c>
      <c r="AS153" s="443" t="s">
        <v>26</v>
      </c>
      <c r="AT153" s="435" t="s">
        <v>26</v>
      </c>
      <c r="AU153" s="435">
        <v>0.19999999999999998</v>
      </c>
      <c r="AV153" s="448">
        <v>96.399999999999991</v>
      </c>
      <c r="AW153" s="151"/>
      <c r="AX153" s="152"/>
      <c r="AY153" s="173">
        <v>-0.2</v>
      </c>
      <c r="AZ153" s="117">
        <v>-0.2</v>
      </c>
      <c r="BA153" s="443" t="s">
        <v>26</v>
      </c>
      <c r="BB153" s="435" t="s">
        <v>26</v>
      </c>
      <c r="BC153" s="435">
        <v>0.4</v>
      </c>
      <c r="BD153" s="432">
        <v>0.89999999999999991</v>
      </c>
      <c r="BE153" s="431">
        <v>0.91999999999999993</v>
      </c>
      <c r="BF153" s="403"/>
      <c r="BG153" s="403"/>
      <c r="BH153" s="437" t="s">
        <v>26</v>
      </c>
      <c r="BI153" s="435">
        <v>0.89999999999999991</v>
      </c>
      <c r="BJ153" s="435">
        <v>0.89999999999999991</v>
      </c>
      <c r="BK153" s="433">
        <v>-0.1</v>
      </c>
      <c r="BL153" s="435">
        <v>0.91999999999999993</v>
      </c>
      <c r="BM153" s="435">
        <v>0.91999999999999993</v>
      </c>
      <c r="BN153" s="436">
        <v>-0.1</v>
      </c>
    </row>
    <row r="154" spans="1:66" s="57" customFormat="1" ht="15" customHeight="1" x14ac:dyDescent="0.2">
      <c r="A154" s="169" t="s">
        <v>55</v>
      </c>
      <c r="B154" s="150">
        <v>23.33</v>
      </c>
      <c r="C154" s="117">
        <v>62.400000000000006</v>
      </c>
      <c r="D154" s="117">
        <v>2.27</v>
      </c>
      <c r="E154" s="135">
        <v>77.36999999999999</v>
      </c>
      <c r="F154" s="151"/>
      <c r="G154" s="152"/>
      <c r="H154" s="182">
        <v>-0.2</v>
      </c>
      <c r="I154" s="117">
        <v>-0.2</v>
      </c>
      <c r="J154" s="117" t="s">
        <v>26</v>
      </c>
      <c r="K154" s="117" t="s">
        <v>26</v>
      </c>
      <c r="L154" s="117">
        <v>0.19999999999999998</v>
      </c>
      <c r="M154" s="135">
        <v>92.58</v>
      </c>
      <c r="N154" s="151"/>
      <c r="O154" s="152"/>
      <c r="P154" s="182">
        <v>-0.2</v>
      </c>
      <c r="Q154" s="117">
        <v>-0.2</v>
      </c>
      <c r="R154" s="117" t="s">
        <v>26</v>
      </c>
      <c r="S154" s="117" t="s">
        <v>26</v>
      </c>
      <c r="T154" s="117">
        <v>0.4</v>
      </c>
      <c r="U154" s="117">
        <v>0.8899999999999999</v>
      </c>
      <c r="V154" s="118">
        <v>0.87999999999999989</v>
      </c>
      <c r="W154" s="153"/>
      <c r="X154" s="153"/>
      <c r="Y154" s="173" t="s">
        <v>26</v>
      </c>
      <c r="Z154" s="117">
        <v>0.8899999999999999</v>
      </c>
      <c r="AA154" s="117">
        <v>0.8899999999999999</v>
      </c>
      <c r="AB154" s="117">
        <v>-0.1</v>
      </c>
      <c r="AC154" s="117">
        <v>0.87999999999999989</v>
      </c>
      <c r="AD154" s="117">
        <v>0.87999999999999989</v>
      </c>
      <c r="AE154" s="118">
        <v>-0.1</v>
      </c>
      <c r="AG154" s="2"/>
      <c r="AH154" s="2"/>
      <c r="AJ154" s="400" t="s">
        <v>55</v>
      </c>
      <c r="AK154" s="154">
        <v>22.33</v>
      </c>
      <c r="AL154" s="156">
        <v>62.550000000000004</v>
      </c>
      <c r="AM154" s="156">
        <v>2.27</v>
      </c>
      <c r="AN154" s="436">
        <v>77.36999999999999</v>
      </c>
      <c r="AO154" s="151"/>
      <c r="AP154" s="152"/>
      <c r="AQ154" s="173">
        <v>-0.2</v>
      </c>
      <c r="AR154" s="117">
        <v>-0.2</v>
      </c>
      <c r="AS154" s="443" t="s">
        <v>26</v>
      </c>
      <c r="AT154" s="435" t="s">
        <v>26</v>
      </c>
      <c r="AU154" s="435">
        <v>0.19999999999999998</v>
      </c>
      <c r="AV154" s="448">
        <v>92.58</v>
      </c>
      <c r="AW154" s="151"/>
      <c r="AX154" s="152"/>
      <c r="AY154" s="173">
        <v>-0.2</v>
      </c>
      <c r="AZ154" s="117">
        <v>-0.2</v>
      </c>
      <c r="BA154" s="443" t="s">
        <v>26</v>
      </c>
      <c r="BB154" s="435" t="s">
        <v>26</v>
      </c>
      <c r="BC154" s="435">
        <v>0.4</v>
      </c>
      <c r="BD154" s="432">
        <v>0.8899999999999999</v>
      </c>
      <c r="BE154" s="431">
        <v>0.87999999999999989</v>
      </c>
      <c r="BF154" s="403"/>
      <c r="BG154" s="403"/>
      <c r="BH154" s="437" t="s">
        <v>26</v>
      </c>
      <c r="BI154" s="435">
        <v>0.8899999999999999</v>
      </c>
      <c r="BJ154" s="435">
        <v>0.8899999999999999</v>
      </c>
      <c r="BK154" s="433">
        <v>-0.1</v>
      </c>
      <c r="BL154" s="435">
        <v>0.87999999999999989</v>
      </c>
      <c r="BM154" s="435">
        <v>0.87999999999999989</v>
      </c>
      <c r="BN154" s="436">
        <v>-0.1</v>
      </c>
    </row>
    <row r="155" spans="1:66" s="57" customFormat="1" ht="15" customHeight="1" x14ac:dyDescent="0.2">
      <c r="A155" s="169" t="s">
        <v>56</v>
      </c>
      <c r="B155" s="150">
        <v>22.35</v>
      </c>
      <c r="C155" s="117">
        <v>63.7</v>
      </c>
      <c r="D155" s="117">
        <v>2.2200000000000002</v>
      </c>
      <c r="E155" s="135">
        <v>70.36999999999999</v>
      </c>
      <c r="F155" s="151"/>
      <c r="G155" s="152"/>
      <c r="H155" s="182">
        <v>-0.2</v>
      </c>
      <c r="I155" s="117">
        <v>-0.2</v>
      </c>
      <c r="J155" s="162" t="s">
        <v>26</v>
      </c>
      <c r="K155" s="162" t="s">
        <v>26</v>
      </c>
      <c r="L155" s="117">
        <v>0.19999999999999998</v>
      </c>
      <c r="M155" s="135">
        <v>88.5</v>
      </c>
      <c r="N155" s="151"/>
      <c r="O155" s="152"/>
      <c r="P155" s="182">
        <v>-0.2</v>
      </c>
      <c r="Q155" s="117">
        <v>-0.2</v>
      </c>
      <c r="R155" s="117" t="s">
        <v>26</v>
      </c>
      <c r="S155" s="117" t="s">
        <v>26</v>
      </c>
      <c r="T155" s="117">
        <v>0.4</v>
      </c>
      <c r="U155" s="117">
        <v>0.85999999999999988</v>
      </c>
      <c r="V155" s="135">
        <v>0.83999999999999986</v>
      </c>
      <c r="W155" s="334">
        <v>0</v>
      </c>
      <c r="X155" s="335">
        <v>0</v>
      </c>
      <c r="Y155" s="182" t="s">
        <v>26</v>
      </c>
      <c r="Z155" s="117">
        <v>0.85999999999999988</v>
      </c>
      <c r="AA155" s="117">
        <v>0.85999999999999988</v>
      </c>
      <c r="AB155" s="117">
        <v>-0.1</v>
      </c>
      <c r="AC155" s="117">
        <v>0.83999999999999986</v>
      </c>
      <c r="AD155" s="117">
        <v>0.83999999999999986</v>
      </c>
      <c r="AE155" s="118">
        <v>-0.1</v>
      </c>
      <c r="AG155" s="2"/>
      <c r="AH155" s="2"/>
      <c r="AJ155" s="400" t="s">
        <v>56</v>
      </c>
      <c r="AK155" s="154">
        <v>21.35</v>
      </c>
      <c r="AL155" s="156">
        <v>63.85</v>
      </c>
      <c r="AM155" s="156">
        <v>2.2200000000000002</v>
      </c>
      <c r="AN155" s="436">
        <v>70.36999999999999</v>
      </c>
      <c r="AO155" s="151"/>
      <c r="AP155" s="152"/>
      <c r="AQ155" s="173">
        <v>-0.2</v>
      </c>
      <c r="AR155" s="117">
        <v>-0.2</v>
      </c>
      <c r="AS155" s="530" t="s">
        <v>26</v>
      </c>
      <c r="AT155" s="441" t="s">
        <v>26</v>
      </c>
      <c r="AU155" s="435">
        <v>0.19999999999999998</v>
      </c>
      <c r="AV155" s="448">
        <v>88.5</v>
      </c>
      <c r="AW155" s="151"/>
      <c r="AX155" s="152"/>
      <c r="AY155" s="173">
        <v>-0.2</v>
      </c>
      <c r="AZ155" s="117">
        <v>-0.2</v>
      </c>
      <c r="BA155" s="443" t="s">
        <v>26</v>
      </c>
      <c r="BB155" s="435" t="s">
        <v>26</v>
      </c>
      <c r="BC155" s="435">
        <v>0.4</v>
      </c>
      <c r="BD155" s="432">
        <v>0.85999999999999988</v>
      </c>
      <c r="BE155" s="434">
        <v>0.83999999999999986</v>
      </c>
      <c r="BF155" s="449">
        <v>0</v>
      </c>
      <c r="BG155" s="449">
        <v>0</v>
      </c>
      <c r="BH155" s="432" t="s">
        <v>26</v>
      </c>
      <c r="BI155" s="435">
        <v>0.85999999999999988</v>
      </c>
      <c r="BJ155" s="435">
        <v>0.85999999999999988</v>
      </c>
      <c r="BK155" s="433">
        <v>-0.1</v>
      </c>
      <c r="BL155" s="435">
        <v>0.83999999999999986</v>
      </c>
      <c r="BM155" s="435">
        <v>0.83999999999999986</v>
      </c>
      <c r="BN155" s="436">
        <v>-0.1</v>
      </c>
    </row>
    <row r="156" spans="1:66" s="57" customFormat="1" ht="15" customHeight="1" x14ac:dyDescent="0.2">
      <c r="A156" s="169" t="s">
        <v>57</v>
      </c>
      <c r="B156" s="186">
        <v>21.44</v>
      </c>
      <c r="C156" s="187">
        <v>64.41</v>
      </c>
      <c r="D156" s="187">
        <v>2.17</v>
      </c>
      <c r="E156" s="452">
        <v>62.47</v>
      </c>
      <c r="F156" s="151"/>
      <c r="G156" s="152"/>
      <c r="H156" s="192">
        <v>-0.2</v>
      </c>
      <c r="I156" s="188">
        <v>-0.2</v>
      </c>
      <c r="J156" s="531"/>
      <c r="K156" s="532"/>
      <c r="L156" s="192">
        <v>0.22</v>
      </c>
      <c r="M156" s="188">
        <v>81.42</v>
      </c>
      <c r="N156" s="151"/>
      <c r="O156" s="152"/>
      <c r="P156" s="192">
        <v>-0.2</v>
      </c>
      <c r="Q156" s="187">
        <v>-0.2</v>
      </c>
      <c r="R156" s="187" t="s">
        <v>26</v>
      </c>
      <c r="S156" s="187" t="s">
        <v>26</v>
      </c>
      <c r="T156" s="187">
        <v>0.4</v>
      </c>
      <c r="U156" s="187">
        <v>0.8600000000000001</v>
      </c>
      <c r="V156" s="454">
        <v>0.81</v>
      </c>
      <c r="W156" s="153"/>
      <c r="X156" s="153"/>
      <c r="Y156" s="339" t="s">
        <v>26</v>
      </c>
      <c r="Z156" s="117">
        <v>0.8600000000000001</v>
      </c>
      <c r="AA156" s="117">
        <v>0.8600000000000001</v>
      </c>
      <c r="AB156" s="117">
        <v>-0.1</v>
      </c>
      <c r="AC156" s="117">
        <v>0.81</v>
      </c>
      <c r="AD156" s="117">
        <v>0.81</v>
      </c>
      <c r="AE156" s="118">
        <v>-0.1</v>
      </c>
      <c r="AG156" s="2"/>
      <c r="AH156" s="2"/>
      <c r="AJ156" s="405" t="s">
        <v>57</v>
      </c>
      <c r="AK156" s="533">
        <v>20.440000000000001</v>
      </c>
      <c r="AL156" s="534">
        <v>64.559999999999988</v>
      </c>
      <c r="AM156" s="534">
        <v>2.17</v>
      </c>
      <c r="AN156" s="535">
        <v>62.47</v>
      </c>
      <c r="AO156" s="151"/>
      <c r="AP156" s="152"/>
      <c r="AQ156" s="536">
        <v>-0.2</v>
      </c>
      <c r="AR156" s="537">
        <v>-0.2</v>
      </c>
      <c r="AS156" s="538"/>
      <c r="AT156" s="539"/>
      <c r="AU156" s="540">
        <v>0.22</v>
      </c>
      <c r="AV156" s="541">
        <v>81.42</v>
      </c>
      <c r="AW156" s="151"/>
      <c r="AX156" s="152"/>
      <c r="AY156" s="536">
        <v>-0.2</v>
      </c>
      <c r="AZ156" s="542">
        <v>-0.2</v>
      </c>
      <c r="BA156" s="540" t="s">
        <v>26</v>
      </c>
      <c r="BB156" s="543" t="s">
        <v>26</v>
      </c>
      <c r="BC156" s="543">
        <v>0.4</v>
      </c>
      <c r="BD156" s="544">
        <v>0.8600000000000001</v>
      </c>
      <c r="BE156" s="455">
        <v>0.81</v>
      </c>
      <c r="BF156" s="545"/>
      <c r="BG156" s="546"/>
      <c r="BH156" s="547" t="s">
        <v>26</v>
      </c>
      <c r="BI156" s="435">
        <v>0.8600000000000001</v>
      </c>
      <c r="BJ156" s="435">
        <v>0.8600000000000001</v>
      </c>
      <c r="BK156" s="433">
        <v>-0.1</v>
      </c>
      <c r="BL156" s="435">
        <v>0.81</v>
      </c>
      <c r="BM156" s="435">
        <v>0.81</v>
      </c>
      <c r="BN156" s="436">
        <v>-0.1</v>
      </c>
    </row>
    <row r="157" spans="1:66" s="57" customFormat="1" ht="15" customHeight="1" x14ac:dyDescent="0.2">
      <c r="A157" s="548" t="s">
        <v>58</v>
      </c>
      <c r="B157" s="77"/>
      <c r="O157" s="77"/>
      <c r="P157" s="77"/>
      <c r="Q157" s="77"/>
      <c r="R157" s="77"/>
      <c r="Z157" s="536">
        <v>0.8600000000000001</v>
      </c>
      <c r="AA157" s="461">
        <v>0.8600000000000001</v>
      </c>
      <c r="AB157" s="461">
        <v>-0.1</v>
      </c>
      <c r="AC157" s="461">
        <v>0.81</v>
      </c>
      <c r="AD157" s="461">
        <v>0.81</v>
      </c>
      <c r="AE157" s="195">
        <v>-0.1</v>
      </c>
      <c r="AG157" s="208"/>
      <c r="AJ157" s="548" t="s">
        <v>58</v>
      </c>
      <c r="AM157" s="2"/>
      <c r="AN157" s="2"/>
      <c r="BI157" s="549">
        <v>0.8600000000000001</v>
      </c>
      <c r="BJ157" s="550">
        <v>0.8600000000000001</v>
      </c>
      <c r="BK157" s="550">
        <v>-0.1</v>
      </c>
      <c r="BL157" s="463">
        <v>0.81</v>
      </c>
      <c r="BM157" s="550">
        <v>0.81</v>
      </c>
      <c r="BN157" s="464">
        <v>-0.1</v>
      </c>
    </row>
    <row r="158" spans="1:66" s="57" customFormat="1" ht="15" customHeight="1" x14ac:dyDescent="0.25">
      <c r="B158" s="551" t="s">
        <v>59</v>
      </c>
      <c r="C158" s="551"/>
      <c r="D158" s="551"/>
      <c r="E158" s="551"/>
      <c r="F158" s="551" t="s">
        <v>60</v>
      </c>
      <c r="G158" s="551"/>
      <c r="H158" s="551"/>
      <c r="I158" s="552" t="s">
        <v>61</v>
      </c>
      <c r="J158" s="345"/>
      <c r="K158" s="346"/>
      <c r="L158" s="346"/>
      <c r="M158" s="346"/>
      <c r="N158" s="346"/>
      <c r="O158" s="346"/>
      <c r="P158" s="346"/>
      <c r="Q158" s="346"/>
      <c r="S158" s="213" t="s">
        <v>64</v>
      </c>
      <c r="W158" s="213" t="s">
        <v>65</v>
      </c>
      <c r="AA158" s="213" t="s">
        <v>66</v>
      </c>
      <c r="AC158" s="213"/>
      <c r="AE158" s="77"/>
      <c r="AK158" s="551" t="s">
        <v>59</v>
      </c>
      <c r="AL158" s="551"/>
      <c r="AM158" s="551"/>
      <c r="AN158" s="551"/>
      <c r="AO158" s="551" t="s">
        <v>60</v>
      </c>
      <c r="AP158" s="551"/>
      <c r="AQ158" s="551"/>
      <c r="AR158" s="552" t="s">
        <v>61</v>
      </c>
      <c r="AS158" s="345"/>
      <c r="AT158" s="346"/>
      <c r="AU158" s="346"/>
      <c r="AV158" s="346"/>
      <c r="AW158" s="346"/>
      <c r="AX158" s="346"/>
      <c r="AY158" s="346"/>
      <c r="AZ158" s="346"/>
      <c r="BB158" s="213" t="s">
        <v>64</v>
      </c>
      <c r="BF158" s="213" t="s">
        <v>65</v>
      </c>
      <c r="BJ158" s="213" t="s">
        <v>66</v>
      </c>
      <c r="BL158" s="213"/>
    </row>
    <row r="159" spans="1:66" s="57" customFormat="1" ht="15" customHeight="1" x14ac:dyDescent="0.25">
      <c r="B159" s="217" t="s">
        <v>68</v>
      </c>
      <c r="C159" s="218"/>
      <c r="D159" s="218"/>
      <c r="E159" s="219"/>
      <c r="F159" s="220" t="s">
        <v>69</v>
      </c>
      <c r="G159" s="221"/>
      <c r="H159" s="222"/>
      <c r="I159" s="347" t="s">
        <v>87</v>
      </c>
      <c r="J159" s="348" t="s">
        <v>101</v>
      </c>
      <c r="K159" s="262"/>
      <c r="L159" s="262"/>
      <c r="M159" s="262"/>
      <c r="N159" s="262"/>
      <c r="O159" s="262"/>
      <c r="P159" s="262"/>
      <c r="Q159" s="262"/>
      <c r="S159" s="228">
        <v>-0.5</v>
      </c>
      <c r="T159" s="228">
        <v>-0.5</v>
      </c>
      <c r="U159" s="229"/>
      <c r="V159" s="228">
        <v>0</v>
      </c>
      <c r="W159" s="228">
        <v>-1</v>
      </c>
      <c r="X159" s="228">
        <v>-1</v>
      </c>
      <c r="Y159" s="230"/>
      <c r="Z159" s="228">
        <v>0</v>
      </c>
      <c r="AA159" s="228">
        <v>-1</v>
      </c>
      <c r="AB159" s="228">
        <v>-1</v>
      </c>
      <c r="AC159" s="229"/>
      <c r="AD159" s="229"/>
      <c r="AK159" s="553" t="s">
        <v>90</v>
      </c>
      <c r="AL159" s="554"/>
      <c r="AM159" s="554"/>
      <c r="AN159" s="555"/>
      <c r="AO159" s="220" t="s">
        <v>69</v>
      </c>
      <c r="AP159" s="221"/>
      <c r="AQ159" s="222"/>
      <c r="AR159" s="347" t="s">
        <v>87</v>
      </c>
      <c r="AS159" s="348"/>
      <c r="AT159" s="262"/>
      <c r="AU159" s="262"/>
      <c r="AV159" s="262"/>
      <c r="AW159" s="262"/>
      <c r="AX159" s="262"/>
      <c r="AY159" s="262"/>
      <c r="AZ159" s="262"/>
      <c r="BB159" s="556">
        <v>-0.7</v>
      </c>
      <c r="BC159" s="556">
        <v>-0.7</v>
      </c>
      <c r="BD159" s="229"/>
      <c r="BE159" s="469">
        <v>0</v>
      </c>
      <c r="BF159" s="469">
        <v>-1</v>
      </c>
      <c r="BG159" s="469">
        <v>-1</v>
      </c>
      <c r="BH159" s="230"/>
      <c r="BI159" s="469">
        <v>0</v>
      </c>
      <c r="BJ159" s="469">
        <v>-1</v>
      </c>
      <c r="BK159" s="469">
        <v>-1</v>
      </c>
      <c r="BL159" s="229"/>
    </row>
    <row r="160" spans="1:66" s="57" customFormat="1" ht="15" customHeight="1" x14ac:dyDescent="0.25">
      <c r="B160" s="235" t="s">
        <v>42</v>
      </c>
      <c r="C160" s="236" t="s">
        <v>48</v>
      </c>
      <c r="D160" s="236" t="s">
        <v>51</v>
      </c>
      <c r="E160" s="237" t="s">
        <v>53</v>
      </c>
      <c r="F160" s="238">
        <v>0</v>
      </c>
      <c r="G160" s="239" t="s">
        <v>73</v>
      </c>
      <c r="H160" s="240">
        <v>0</v>
      </c>
      <c r="I160" s="557">
        <v>0</v>
      </c>
      <c r="J160" s="348" t="s">
        <v>101</v>
      </c>
      <c r="K160" s="262"/>
      <c r="L160" s="262"/>
      <c r="M160" s="262"/>
      <c r="N160" s="262"/>
      <c r="O160" s="262"/>
      <c r="P160" s="262"/>
      <c r="Q160" s="262"/>
      <c r="S160" s="246"/>
      <c r="T160" s="229"/>
      <c r="U160" s="229"/>
      <c r="X160" s="229"/>
      <c r="Y160" s="229"/>
      <c r="Z160" s="229"/>
      <c r="AC160" s="229"/>
      <c r="AD160" s="229"/>
      <c r="AK160" s="235" t="s">
        <v>34</v>
      </c>
      <c r="AL160" s="236" t="s">
        <v>42</v>
      </c>
      <c r="AM160" s="236" t="s">
        <v>48</v>
      </c>
      <c r="AN160" s="237" t="s">
        <v>55</v>
      </c>
      <c r="AO160" s="471">
        <v>0</v>
      </c>
      <c r="AP160" s="239" t="s">
        <v>73</v>
      </c>
      <c r="AQ160" s="472">
        <v>0</v>
      </c>
      <c r="AR160" s="558">
        <v>0</v>
      </c>
      <c r="AS160" s="348"/>
      <c r="AT160" s="262"/>
      <c r="AU160" s="262"/>
      <c r="AV160" s="262"/>
      <c r="AW160" s="262"/>
      <c r="AX160" s="262"/>
      <c r="AY160" s="262"/>
      <c r="AZ160" s="262"/>
      <c r="BB160" s="246"/>
      <c r="BC160" s="229"/>
      <c r="BD160" s="229"/>
      <c r="BG160" s="229"/>
      <c r="BH160" s="229"/>
      <c r="BI160" s="229"/>
      <c r="BL160" s="229"/>
    </row>
    <row r="161" spans="2:64" ht="11.25" customHeight="1" x14ac:dyDescent="0.2">
      <c r="B161" s="559">
        <v>0.9</v>
      </c>
      <c r="C161" s="351">
        <v>0.9</v>
      </c>
      <c r="D161" s="351">
        <v>0.9</v>
      </c>
      <c r="E161" s="352">
        <v>0.9</v>
      </c>
      <c r="F161" s="560" t="s">
        <v>101</v>
      </c>
      <c r="G161" s="561"/>
      <c r="H161" s="476" t="s">
        <v>101</v>
      </c>
      <c r="I161" s="353" t="s">
        <v>101</v>
      </c>
      <c r="J161" s="348" t="s">
        <v>101</v>
      </c>
      <c r="K161" s="262"/>
      <c r="L161" s="262"/>
      <c r="M161" s="262"/>
      <c r="N161" s="262"/>
      <c r="O161" s="262"/>
      <c r="P161" s="262"/>
      <c r="Q161" s="262"/>
      <c r="AC161" s="262"/>
      <c r="AD161" s="262"/>
      <c r="AE161" s="262"/>
      <c r="AK161" s="562">
        <v>0.5</v>
      </c>
      <c r="AL161" s="478">
        <v>0.5</v>
      </c>
      <c r="AM161" s="478">
        <v>0.5</v>
      </c>
      <c r="AN161" s="479">
        <v>0.5</v>
      </c>
      <c r="AO161" s="563" t="s">
        <v>101</v>
      </c>
      <c r="AP161" s="561"/>
      <c r="AQ161" s="481" t="s">
        <v>101</v>
      </c>
      <c r="AR161" s="482" t="s">
        <v>101</v>
      </c>
      <c r="AS161" s="348"/>
      <c r="AT161" s="262"/>
      <c r="AU161" s="262"/>
      <c r="AV161" s="262"/>
      <c r="AW161" s="262"/>
      <c r="AX161" s="262"/>
      <c r="AY161" s="262"/>
      <c r="AZ161" s="262"/>
      <c r="BL161" s="262"/>
    </row>
    <row r="162" spans="2:64" ht="30" customHeight="1" x14ac:dyDescent="0.2">
      <c r="B162" s="228" t="s">
        <v>257</v>
      </c>
      <c r="C162" s="228">
        <v>1.05</v>
      </c>
      <c r="D162" s="228" t="s">
        <v>258</v>
      </c>
      <c r="E162" s="228">
        <v>0.9</v>
      </c>
      <c r="AG162" s="57"/>
      <c r="AK162" s="564" t="s">
        <v>257</v>
      </c>
      <c r="AL162" s="463">
        <v>1.05</v>
      </c>
      <c r="AM162" s="565" t="s">
        <v>258</v>
      </c>
      <c r="AN162" s="566">
        <v>0.5</v>
      </c>
    </row>
    <row r="163" spans="2:64" x14ac:dyDescent="0.2">
      <c r="AG163" s="57"/>
    </row>
    <row r="164" spans="2:64" x14ac:dyDescent="0.2">
      <c r="AG164" s="57"/>
    </row>
    <row r="165" spans="2:64" x14ac:dyDescent="0.2">
      <c r="AG165" s="57"/>
    </row>
    <row r="166" spans="2:64" x14ac:dyDescent="0.2">
      <c r="AG166" s="57"/>
    </row>
    <row r="167" spans="2:64" x14ac:dyDescent="0.2">
      <c r="AG167" s="57"/>
    </row>
    <row r="168" spans="2:64" x14ac:dyDescent="0.2">
      <c r="AG168" s="57"/>
    </row>
    <row r="169" spans="2:64" x14ac:dyDescent="0.2">
      <c r="AG169" s="57"/>
    </row>
    <row r="170" spans="2:64" x14ac:dyDescent="0.2">
      <c r="AG170" s="57"/>
    </row>
    <row r="171" spans="2:64" x14ac:dyDescent="0.2">
      <c r="AG171" s="57"/>
    </row>
  </sheetData>
  <mergeCells count="530">
    <mergeCell ref="AQ160:AQ161"/>
    <mergeCell ref="AR160:AR161"/>
    <mergeCell ref="F160:F161"/>
    <mergeCell ref="G160:G161"/>
    <mergeCell ref="H160:H161"/>
    <mergeCell ref="I160:I161"/>
    <mergeCell ref="AO160:AO161"/>
    <mergeCell ref="AP160:AP161"/>
    <mergeCell ref="B158:E158"/>
    <mergeCell ref="F158:H158"/>
    <mergeCell ref="AK158:AN158"/>
    <mergeCell ref="AO158:AQ158"/>
    <mergeCell ref="B159:E159"/>
    <mergeCell ref="F159:H159"/>
    <mergeCell ref="AK159:AN159"/>
    <mergeCell ref="AO159:AQ159"/>
    <mergeCell ref="F155:G155"/>
    <mergeCell ref="N155:O155"/>
    <mergeCell ref="AO155:AP155"/>
    <mergeCell ref="AW155:AX155"/>
    <mergeCell ref="F156:G156"/>
    <mergeCell ref="N156:O156"/>
    <mergeCell ref="AO156:AP156"/>
    <mergeCell ref="AW156:AX156"/>
    <mergeCell ref="F153:G153"/>
    <mergeCell ref="N153:O153"/>
    <mergeCell ref="AO153:AP153"/>
    <mergeCell ref="AW153:AX153"/>
    <mergeCell ref="F154:G154"/>
    <mergeCell ref="N154:O154"/>
    <mergeCell ref="AO154:AP154"/>
    <mergeCell ref="AW154:AX154"/>
    <mergeCell ref="F151:G151"/>
    <mergeCell ref="N151:O151"/>
    <mergeCell ref="AO151:AP151"/>
    <mergeCell ref="AW151:AX151"/>
    <mergeCell ref="F152:G152"/>
    <mergeCell ref="N152:O152"/>
    <mergeCell ref="AO152:AP152"/>
    <mergeCell ref="AW152:AX152"/>
    <mergeCell ref="F149:G149"/>
    <mergeCell ref="N149:O149"/>
    <mergeCell ref="AO149:AP149"/>
    <mergeCell ref="AW149:AX149"/>
    <mergeCell ref="F150:G150"/>
    <mergeCell ref="N150:O150"/>
    <mergeCell ref="AO150:AP150"/>
    <mergeCell ref="AW150:AX150"/>
    <mergeCell ref="F147:G147"/>
    <mergeCell ref="N147:O147"/>
    <mergeCell ref="AO147:AP147"/>
    <mergeCell ref="AW147:AX147"/>
    <mergeCell ref="F148:G148"/>
    <mergeCell ref="N148:O148"/>
    <mergeCell ref="AO148:AP148"/>
    <mergeCell ref="AW148:AX148"/>
    <mergeCell ref="F145:G145"/>
    <mergeCell ref="N145:O145"/>
    <mergeCell ref="AO145:AP145"/>
    <mergeCell ref="AW145:AX145"/>
    <mergeCell ref="F146:G146"/>
    <mergeCell ref="N146:O146"/>
    <mergeCell ref="AO146:AP146"/>
    <mergeCell ref="AW146:AX146"/>
    <mergeCell ref="F143:G143"/>
    <mergeCell ref="N143:O143"/>
    <mergeCell ref="AO143:AP143"/>
    <mergeCell ref="AW143:AX143"/>
    <mergeCell ref="F144:G144"/>
    <mergeCell ref="N144:O144"/>
    <mergeCell ref="AO144:AP144"/>
    <mergeCell ref="AW144:AX144"/>
    <mergeCell ref="F141:G141"/>
    <mergeCell ref="N141:O141"/>
    <mergeCell ref="AO141:AP141"/>
    <mergeCell ref="AW141:AX141"/>
    <mergeCell ref="F142:G142"/>
    <mergeCell ref="N142:O142"/>
    <mergeCell ref="AO142:AP142"/>
    <mergeCell ref="AW142:AX142"/>
    <mergeCell ref="F139:G139"/>
    <mergeCell ref="N139:O139"/>
    <mergeCell ref="AO139:AP139"/>
    <mergeCell ref="AW139:AX139"/>
    <mergeCell ref="F140:G140"/>
    <mergeCell ref="N140:O140"/>
    <mergeCell ref="AO140:AP140"/>
    <mergeCell ref="AW140:AX140"/>
    <mergeCell ref="F137:G137"/>
    <mergeCell ref="N137:O137"/>
    <mergeCell ref="AO137:AP137"/>
    <mergeCell ref="AW137:AX137"/>
    <mergeCell ref="F138:G138"/>
    <mergeCell ref="N138:O138"/>
    <mergeCell ref="AO138:AP138"/>
    <mergeCell ref="AW138:AX138"/>
    <mergeCell ref="F135:G135"/>
    <mergeCell ref="N135:O135"/>
    <mergeCell ref="AO135:AP135"/>
    <mergeCell ref="AW135:AX135"/>
    <mergeCell ref="F136:G136"/>
    <mergeCell ref="N136:O136"/>
    <mergeCell ref="AO136:AP136"/>
    <mergeCell ref="AW136:AX136"/>
    <mergeCell ref="F133:G133"/>
    <mergeCell ref="N133:O133"/>
    <mergeCell ref="AO133:AP133"/>
    <mergeCell ref="AW133:AX133"/>
    <mergeCell ref="F134:G134"/>
    <mergeCell ref="N134:O134"/>
    <mergeCell ref="AO134:AP134"/>
    <mergeCell ref="AW134:AX134"/>
    <mergeCell ref="F131:G131"/>
    <mergeCell ref="N131:O131"/>
    <mergeCell ref="AO131:AP131"/>
    <mergeCell ref="AW131:AX131"/>
    <mergeCell ref="F132:G132"/>
    <mergeCell ref="N132:O132"/>
    <mergeCell ref="AO132:AP132"/>
    <mergeCell ref="AW132:AX132"/>
    <mergeCell ref="F129:G129"/>
    <mergeCell ref="N129:O129"/>
    <mergeCell ref="U129:V129"/>
    <mergeCell ref="AO129:AP129"/>
    <mergeCell ref="AW129:AX129"/>
    <mergeCell ref="F130:G130"/>
    <mergeCell ref="N130:O130"/>
    <mergeCell ref="AO130:AP130"/>
    <mergeCell ref="AW130:AX130"/>
    <mergeCell ref="F127:G127"/>
    <mergeCell ref="N127:O127"/>
    <mergeCell ref="AO127:AP127"/>
    <mergeCell ref="AW127:AX127"/>
    <mergeCell ref="F128:G128"/>
    <mergeCell ref="N128:O128"/>
    <mergeCell ref="AO128:AP128"/>
    <mergeCell ref="AW128:AX128"/>
    <mergeCell ref="AQ122:AQ123"/>
    <mergeCell ref="AR122:AR123"/>
    <mergeCell ref="B125:AE125"/>
    <mergeCell ref="AK125:BN125"/>
    <mergeCell ref="F126:G126"/>
    <mergeCell ref="N126:O126"/>
    <mergeCell ref="AO126:AP126"/>
    <mergeCell ref="AW126:AX126"/>
    <mergeCell ref="B121:E121"/>
    <mergeCell ref="F121:H121"/>
    <mergeCell ref="AK121:AN121"/>
    <mergeCell ref="AO121:AQ121"/>
    <mergeCell ref="F122:F123"/>
    <mergeCell ref="G122:G123"/>
    <mergeCell ref="H122:H123"/>
    <mergeCell ref="I122:I123"/>
    <mergeCell ref="AO122:AO123"/>
    <mergeCell ref="AP122:AP123"/>
    <mergeCell ref="F118:G118"/>
    <mergeCell ref="N118:O118"/>
    <mergeCell ref="AO118:AP118"/>
    <mergeCell ref="AW118:AX118"/>
    <mergeCell ref="B120:E120"/>
    <mergeCell ref="F120:H120"/>
    <mergeCell ref="AK120:AN120"/>
    <mergeCell ref="AO120:AQ120"/>
    <mergeCell ref="F116:G116"/>
    <mergeCell ref="N116:O116"/>
    <mergeCell ref="AO116:AP116"/>
    <mergeCell ref="AW116:AX116"/>
    <mergeCell ref="F117:G117"/>
    <mergeCell ref="N117:O117"/>
    <mergeCell ref="AO117:AP117"/>
    <mergeCell ref="AW117:AX117"/>
    <mergeCell ref="F114:G114"/>
    <mergeCell ref="N114:O114"/>
    <mergeCell ref="AO114:AP114"/>
    <mergeCell ref="AW114:AX114"/>
    <mergeCell ref="F115:G115"/>
    <mergeCell ref="N115:O115"/>
    <mergeCell ref="AO115:AP115"/>
    <mergeCell ref="AW115:AX115"/>
    <mergeCell ref="F112:G112"/>
    <mergeCell ref="N112:O112"/>
    <mergeCell ref="AO112:AP112"/>
    <mergeCell ref="AW112:AX112"/>
    <mergeCell ref="F113:G113"/>
    <mergeCell ref="N113:O113"/>
    <mergeCell ref="AO113:AP113"/>
    <mergeCell ref="AW113:AX113"/>
    <mergeCell ref="F110:G110"/>
    <mergeCell ref="N110:O110"/>
    <mergeCell ref="AO110:AP110"/>
    <mergeCell ref="AW110:AX110"/>
    <mergeCell ref="F111:G111"/>
    <mergeCell ref="N111:O111"/>
    <mergeCell ref="AO111:AP111"/>
    <mergeCell ref="AW111:AX111"/>
    <mergeCell ref="F108:G108"/>
    <mergeCell ref="N108:O108"/>
    <mergeCell ref="AO108:AP108"/>
    <mergeCell ref="AW108:AX108"/>
    <mergeCell ref="F109:G109"/>
    <mergeCell ref="N109:O109"/>
    <mergeCell ref="AO109:AP109"/>
    <mergeCell ref="AW109:AX109"/>
    <mergeCell ref="F106:G106"/>
    <mergeCell ref="N106:O106"/>
    <mergeCell ref="AO106:AP106"/>
    <mergeCell ref="AW106:AX106"/>
    <mergeCell ref="F107:G107"/>
    <mergeCell ref="N107:O107"/>
    <mergeCell ref="AO107:AP107"/>
    <mergeCell ref="AW107:AX107"/>
    <mergeCell ref="F104:G104"/>
    <mergeCell ref="N104:O104"/>
    <mergeCell ref="AO104:AP104"/>
    <mergeCell ref="AW104:AX104"/>
    <mergeCell ref="F105:G105"/>
    <mergeCell ref="N105:O105"/>
    <mergeCell ref="AO105:AP105"/>
    <mergeCell ref="AW105:AX105"/>
    <mergeCell ref="F102:G102"/>
    <mergeCell ref="N102:O102"/>
    <mergeCell ref="AO102:AP102"/>
    <mergeCell ref="AW102:AX102"/>
    <mergeCell ref="F103:G103"/>
    <mergeCell ref="N103:O103"/>
    <mergeCell ref="AO103:AP103"/>
    <mergeCell ref="AW103:AX103"/>
    <mergeCell ref="F100:G100"/>
    <mergeCell ref="N100:O100"/>
    <mergeCell ref="AO100:AP100"/>
    <mergeCell ref="AW100:AX100"/>
    <mergeCell ref="F101:G101"/>
    <mergeCell ref="N101:O101"/>
    <mergeCell ref="AO101:AP101"/>
    <mergeCell ref="AW101:AX101"/>
    <mergeCell ref="F98:G98"/>
    <mergeCell ref="N98:O98"/>
    <mergeCell ref="AO98:AP98"/>
    <mergeCell ref="AW98:AX98"/>
    <mergeCell ref="F99:G99"/>
    <mergeCell ref="N99:O99"/>
    <mergeCell ref="AO99:AP99"/>
    <mergeCell ref="AW99:AX99"/>
    <mergeCell ref="F96:G96"/>
    <mergeCell ref="N96:O96"/>
    <mergeCell ref="AO96:AP96"/>
    <mergeCell ref="AW96:AX96"/>
    <mergeCell ref="F97:G97"/>
    <mergeCell ref="N97:O97"/>
    <mergeCell ref="AO97:AP97"/>
    <mergeCell ref="AW97:AX97"/>
    <mergeCell ref="F94:G94"/>
    <mergeCell ref="N94:O94"/>
    <mergeCell ref="AO94:AP94"/>
    <mergeCell ref="AW94:AX94"/>
    <mergeCell ref="F95:G95"/>
    <mergeCell ref="N95:O95"/>
    <mergeCell ref="AO95:AP95"/>
    <mergeCell ref="AW95:AX95"/>
    <mergeCell ref="F92:G92"/>
    <mergeCell ref="N92:O92"/>
    <mergeCell ref="AO92:AP92"/>
    <mergeCell ref="AW92:AX92"/>
    <mergeCell ref="F93:G93"/>
    <mergeCell ref="N93:O93"/>
    <mergeCell ref="AO93:AP93"/>
    <mergeCell ref="AW93:AX93"/>
    <mergeCell ref="F90:G90"/>
    <mergeCell ref="N90:O90"/>
    <mergeCell ref="AO90:AP90"/>
    <mergeCell ref="AW90:AX90"/>
    <mergeCell ref="F91:G91"/>
    <mergeCell ref="N91:O91"/>
    <mergeCell ref="U91:V91"/>
    <mergeCell ref="AO91:AP91"/>
    <mergeCell ref="AW91:AX91"/>
    <mergeCell ref="F88:G88"/>
    <mergeCell ref="N88:O88"/>
    <mergeCell ref="AO88:AP88"/>
    <mergeCell ref="AW88:AX88"/>
    <mergeCell ref="F89:G89"/>
    <mergeCell ref="N89:O89"/>
    <mergeCell ref="AO89:AP89"/>
    <mergeCell ref="AW89:AX89"/>
    <mergeCell ref="F84:F85"/>
    <mergeCell ref="G84:G85"/>
    <mergeCell ref="H84:H85"/>
    <mergeCell ref="I84:I85"/>
    <mergeCell ref="B87:AE87"/>
    <mergeCell ref="AK87:BN87"/>
    <mergeCell ref="F80:G80"/>
    <mergeCell ref="N80:O80"/>
    <mergeCell ref="B82:E82"/>
    <mergeCell ref="F82:H82"/>
    <mergeCell ref="B83:E83"/>
    <mergeCell ref="F83:H83"/>
    <mergeCell ref="F77:G77"/>
    <mergeCell ref="N77:O77"/>
    <mergeCell ref="F78:G78"/>
    <mergeCell ref="N78:O78"/>
    <mergeCell ref="F79:G79"/>
    <mergeCell ref="N79:O79"/>
    <mergeCell ref="F74:G74"/>
    <mergeCell ref="N74:O74"/>
    <mergeCell ref="F75:G75"/>
    <mergeCell ref="N75:O75"/>
    <mergeCell ref="F76:G76"/>
    <mergeCell ref="N76:O76"/>
    <mergeCell ref="F71:G71"/>
    <mergeCell ref="N71:O71"/>
    <mergeCell ref="F72:G72"/>
    <mergeCell ref="N72:O72"/>
    <mergeCell ref="F73:G73"/>
    <mergeCell ref="N73:O73"/>
    <mergeCell ref="F68:G68"/>
    <mergeCell ref="N68:O68"/>
    <mergeCell ref="F69:G69"/>
    <mergeCell ref="N69:O69"/>
    <mergeCell ref="F70:G70"/>
    <mergeCell ref="N70:O70"/>
    <mergeCell ref="F65:G65"/>
    <mergeCell ref="N65:O65"/>
    <mergeCell ref="F66:G66"/>
    <mergeCell ref="N66:O66"/>
    <mergeCell ref="F67:G67"/>
    <mergeCell ref="N67:O67"/>
    <mergeCell ref="F62:G62"/>
    <mergeCell ref="N62:O62"/>
    <mergeCell ref="F63:G63"/>
    <mergeCell ref="N63:O63"/>
    <mergeCell ref="F64:G64"/>
    <mergeCell ref="N64:O64"/>
    <mergeCell ref="F59:G59"/>
    <mergeCell ref="N59:O59"/>
    <mergeCell ref="F60:G60"/>
    <mergeCell ref="N60:O60"/>
    <mergeCell ref="F61:G61"/>
    <mergeCell ref="N61:O61"/>
    <mergeCell ref="F56:G56"/>
    <mergeCell ref="N56:O56"/>
    <mergeCell ref="F57:G57"/>
    <mergeCell ref="N57:O57"/>
    <mergeCell ref="F58:G58"/>
    <mergeCell ref="N58:O58"/>
    <mergeCell ref="F53:G53"/>
    <mergeCell ref="N53:O53"/>
    <mergeCell ref="U53:V53"/>
    <mergeCell ref="F54:G54"/>
    <mergeCell ref="N54:O54"/>
    <mergeCell ref="F55:G55"/>
    <mergeCell ref="N55:O55"/>
    <mergeCell ref="F50:G50"/>
    <mergeCell ref="N50:O50"/>
    <mergeCell ref="F51:G51"/>
    <mergeCell ref="N51:O51"/>
    <mergeCell ref="F52:G52"/>
    <mergeCell ref="N52:O52"/>
    <mergeCell ref="Z45:AB45"/>
    <mergeCell ref="B47:AE47"/>
    <mergeCell ref="AJ47:AN47"/>
    <mergeCell ref="F48:G48"/>
    <mergeCell ref="N48:O48"/>
    <mergeCell ref="F49:G49"/>
    <mergeCell ref="N49:O49"/>
    <mergeCell ref="AR43:AR45"/>
    <mergeCell ref="AS43:AS45"/>
    <mergeCell ref="AU43:AU45"/>
    <mergeCell ref="AV43:AV45"/>
    <mergeCell ref="F44:F45"/>
    <mergeCell ref="G44:G45"/>
    <mergeCell ref="H44:H45"/>
    <mergeCell ref="I44:I45"/>
    <mergeCell ref="K44:Q45"/>
    <mergeCell ref="U45:W45"/>
    <mergeCell ref="B42:E42"/>
    <mergeCell ref="F42:H42"/>
    <mergeCell ref="K42:Q42"/>
    <mergeCell ref="B43:E43"/>
    <mergeCell ref="F43:H43"/>
    <mergeCell ref="J43:J45"/>
    <mergeCell ref="K43:Q43"/>
    <mergeCell ref="F39:G39"/>
    <mergeCell ref="N39:O39"/>
    <mergeCell ref="F40:G40"/>
    <mergeCell ref="N40:O40"/>
    <mergeCell ref="S41:T41"/>
    <mergeCell ref="U41:V41"/>
    <mergeCell ref="F36:G36"/>
    <mergeCell ref="N36:O36"/>
    <mergeCell ref="F37:G37"/>
    <mergeCell ref="N37:O37"/>
    <mergeCell ref="F38:G38"/>
    <mergeCell ref="N38:O38"/>
    <mergeCell ref="F32:G32"/>
    <mergeCell ref="N32:O32"/>
    <mergeCell ref="DH32:DH39"/>
    <mergeCell ref="F33:G33"/>
    <mergeCell ref="N33:O33"/>
    <mergeCell ref="DI33:DI40"/>
    <mergeCell ref="F34:G34"/>
    <mergeCell ref="N34:O34"/>
    <mergeCell ref="F35:G35"/>
    <mergeCell ref="N35:O35"/>
    <mergeCell ref="DI25:DI32"/>
    <mergeCell ref="F26:G26"/>
    <mergeCell ref="N26:O26"/>
    <mergeCell ref="F27:G27"/>
    <mergeCell ref="N27:O27"/>
    <mergeCell ref="F28:G28"/>
    <mergeCell ref="N28:O28"/>
    <mergeCell ref="F29:G29"/>
    <mergeCell ref="N29:O29"/>
    <mergeCell ref="F30:G30"/>
    <mergeCell ref="F23:G23"/>
    <mergeCell ref="N23:O23"/>
    <mergeCell ref="DH23:DH31"/>
    <mergeCell ref="F24:G24"/>
    <mergeCell ref="N24:O24"/>
    <mergeCell ref="F25:G25"/>
    <mergeCell ref="N25:O25"/>
    <mergeCell ref="N30:O30"/>
    <mergeCell ref="F31:G31"/>
    <mergeCell ref="N31:O31"/>
    <mergeCell ref="F20:G20"/>
    <mergeCell ref="N20:O20"/>
    <mergeCell ref="F21:G21"/>
    <mergeCell ref="N21:O21"/>
    <mergeCell ref="F22:G22"/>
    <mergeCell ref="N22:O22"/>
    <mergeCell ref="DL15:DL40"/>
    <mergeCell ref="DO15:DO40"/>
    <mergeCell ref="F16:G16"/>
    <mergeCell ref="N16:O16"/>
    <mergeCell ref="F17:G17"/>
    <mergeCell ref="N17:O17"/>
    <mergeCell ref="F18:G18"/>
    <mergeCell ref="N18:O18"/>
    <mergeCell ref="F19:G19"/>
    <mergeCell ref="N19:O19"/>
    <mergeCell ref="CZ11:CZ40"/>
    <mergeCell ref="F12:G12"/>
    <mergeCell ref="N12:O12"/>
    <mergeCell ref="F13:G13"/>
    <mergeCell ref="N13:O13"/>
    <mergeCell ref="F14:G14"/>
    <mergeCell ref="N14:O14"/>
    <mergeCell ref="F15:G15"/>
    <mergeCell ref="N15:O15"/>
    <mergeCell ref="CK15:CK40"/>
    <mergeCell ref="CN11:CN14"/>
    <mergeCell ref="CR11:CR40"/>
    <mergeCell ref="CS11:CS40"/>
    <mergeCell ref="CT11:CT40"/>
    <mergeCell ref="CX11:CX40"/>
    <mergeCell ref="CY11:CY40"/>
    <mergeCell ref="CN15:CN40"/>
    <mergeCell ref="DO8:DO10"/>
    <mergeCell ref="F9:G9"/>
    <mergeCell ref="N9:O9"/>
    <mergeCell ref="F10:G10"/>
    <mergeCell ref="N10:O10"/>
    <mergeCell ref="F11:G11"/>
    <mergeCell ref="N11:O11"/>
    <mergeCell ref="BN11:BN40"/>
    <mergeCell ref="BQ11:BQ40"/>
    <mergeCell ref="CK11:CK14"/>
    <mergeCell ref="DF8:DF10"/>
    <mergeCell ref="DH8:DH10"/>
    <mergeCell ref="DI8:DI10"/>
    <mergeCell ref="DK8:DK10"/>
    <mergeCell ref="DL8:DL10"/>
    <mergeCell ref="DN8:DN10"/>
    <mergeCell ref="CX8:CX10"/>
    <mergeCell ref="CY8:CY10"/>
    <mergeCell ref="CZ8:CZ10"/>
    <mergeCell ref="DB8:DB10"/>
    <mergeCell ref="DC8:DC10"/>
    <mergeCell ref="DE8:DE10"/>
    <mergeCell ref="CQ8:CQ10"/>
    <mergeCell ref="CR8:CR10"/>
    <mergeCell ref="CS8:CS10"/>
    <mergeCell ref="CT8:CT10"/>
    <mergeCell ref="CV8:CV10"/>
    <mergeCell ref="CW8:CW10"/>
    <mergeCell ref="CI8:CI10"/>
    <mergeCell ref="CJ8:CJ10"/>
    <mergeCell ref="CK8:CK10"/>
    <mergeCell ref="CM8:CM10"/>
    <mergeCell ref="CN8:CN10"/>
    <mergeCell ref="CP8:CP10"/>
    <mergeCell ref="CC8:CC10"/>
    <mergeCell ref="CD8:CD10"/>
    <mergeCell ref="CE8:CE10"/>
    <mergeCell ref="CF8:CF10"/>
    <mergeCell ref="CG8:CG10"/>
    <mergeCell ref="CH8:CH10"/>
    <mergeCell ref="BW8:BW10"/>
    <mergeCell ref="BX8:BX10"/>
    <mergeCell ref="BY8:BY10"/>
    <mergeCell ref="BZ8:BZ10"/>
    <mergeCell ref="CA8:CA10"/>
    <mergeCell ref="CB8:CB10"/>
    <mergeCell ref="BQ8:BQ10"/>
    <mergeCell ref="BR8:BR10"/>
    <mergeCell ref="BS8:BS10"/>
    <mergeCell ref="BT8:BT10"/>
    <mergeCell ref="BU8:BU10"/>
    <mergeCell ref="BV8:BV10"/>
    <mergeCell ref="BH8:BH10"/>
    <mergeCell ref="BI8:BI10"/>
    <mergeCell ref="BK8:BK10"/>
    <mergeCell ref="BL8:BL10"/>
    <mergeCell ref="BN8:BN10"/>
    <mergeCell ref="BP8:BP10"/>
    <mergeCell ref="AY8:AY10"/>
    <mergeCell ref="AZ8:AZ10"/>
    <mergeCell ref="BB8:BB10"/>
    <mergeCell ref="BC8:BC10"/>
    <mergeCell ref="BE8:BE10"/>
    <mergeCell ref="BF8:BF10"/>
    <mergeCell ref="A1:AE1"/>
    <mergeCell ref="AP7:DO7"/>
    <mergeCell ref="F8:G8"/>
    <mergeCell ref="N8:O8"/>
    <mergeCell ref="AP8:AP10"/>
    <mergeCell ref="AR8:AR10"/>
    <mergeCell ref="AS8:AS10"/>
    <mergeCell ref="AU8:AU10"/>
    <mergeCell ref="AV8:AV10"/>
    <mergeCell ref="AX8:AX10"/>
  </mergeCells>
  <conditionalFormatting sqref="Y19:Y40 J14:K40 R14:S40">
    <cfRule type="expression" dxfId="60" priority="56">
      <formula>SIGN(LEFT(J14,SEARCH("|",J14)-1))*LEFT(J14,SEARCH("|",J14)-1)/RIGHT(J14,LEN(J14)-SEARCH("|",J14))&lt;-1</formula>
    </cfRule>
    <cfRule type="expression" dxfId="59" priority="57">
      <formula>SIGN(LEFT(J14,SEARCH("|",J14)-1))*LEFT(J14,SEARCH("|",J14)-1)/RIGHT(J14,LEN(J14)-SEARCH("|",J14))&gt;1</formula>
    </cfRule>
  </conditionalFormatting>
  <conditionalFormatting sqref="J43:J45">
    <cfRule type="cellIs" dxfId="58" priority="55" operator="notEqual">
      <formula>"OK"</formula>
    </cfRule>
  </conditionalFormatting>
  <conditionalFormatting sqref="B14:E40 F13:I13 H11:I12 M14:M40 T14:V40 W14 H14:I40">
    <cfRule type="cellIs" dxfId="57" priority="54" operator="greaterThan">
      <formula>B89</formula>
    </cfRule>
  </conditionalFormatting>
  <conditionalFormatting sqref="B14:E40 F13:I13 H11:I12 T30:X30 N11:Q13 H14:I40 P14:Q40 T14:W14 T39:X39 T31:V38 T40:V40 T26:V29 T25:W25 T15:V24">
    <cfRule type="cellIs" dxfId="56" priority="53" operator="lessThan">
      <formula>B127</formula>
    </cfRule>
  </conditionalFormatting>
  <conditionalFormatting sqref="L14:L40">
    <cfRule type="cellIs" dxfId="55" priority="58" operator="greaterThan">
      <formula>L92</formula>
    </cfRule>
  </conditionalFormatting>
  <conditionalFormatting sqref="AB25:AB41 AE25:AE41">
    <cfRule type="cellIs" dxfId="54" priority="51" operator="lessThan">
      <formula>AB141</formula>
    </cfRule>
  </conditionalFormatting>
  <conditionalFormatting sqref="M14:M40">
    <cfRule type="cellIs" dxfId="53" priority="49" operator="lessThan">
      <formula>M130</formula>
    </cfRule>
  </conditionalFormatting>
  <conditionalFormatting sqref="AD41">
    <cfRule type="cellIs" dxfId="52" priority="48" operator="lessThan">
      <formula>AD157</formula>
    </cfRule>
  </conditionalFormatting>
  <conditionalFormatting sqref="L14:L40">
    <cfRule type="cellIs" dxfId="51" priority="52" operator="lessThan">
      <formula>L130</formula>
    </cfRule>
  </conditionalFormatting>
  <conditionalFormatting sqref="AP14:AP40">
    <cfRule type="containsBlanks" dxfId="50" priority="46">
      <formula>LEN(TRIM(AP14))=0</formula>
    </cfRule>
  </conditionalFormatting>
  <conditionalFormatting sqref="BB14:BB31">
    <cfRule type="containsBlanks" dxfId="49" priority="45">
      <formula>LEN(TRIM(BB14))=0</formula>
    </cfRule>
  </conditionalFormatting>
  <conditionalFormatting sqref="AX14:AZ40">
    <cfRule type="containsBlanks" dxfId="48" priority="44">
      <formula>LEN(TRIM(AX14))=0</formula>
    </cfRule>
  </conditionalFormatting>
  <conditionalFormatting sqref="AU14:AV40">
    <cfRule type="containsBlanks" dxfId="47" priority="43">
      <formula>LEN(TRIM(AU14))=0</formula>
    </cfRule>
  </conditionalFormatting>
  <conditionalFormatting sqref="AR14:AS40">
    <cfRule type="containsBlanks" dxfId="46" priority="42">
      <formula>LEN(TRIM(AR14))=0</formula>
    </cfRule>
  </conditionalFormatting>
  <conditionalFormatting sqref="BE14:BE33">
    <cfRule type="containsBlanks" dxfId="45" priority="41">
      <formula>LEN(TRIM(BE14))=0</formula>
    </cfRule>
  </conditionalFormatting>
  <conditionalFormatting sqref="BH14:BH26">
    <cfRule type="containsBlanks" dxfId="44" priority="40">
      <formula>LEN(TRIM(BH14))=0</formula>
    </cfRule>
  </conditionalFormatting>
  <conditionalFormatting sqref="BK14:BK26">
    <cfRule type="containsBlanks" dxfId="43" priority="39">
      <formula>LEN(TRIM(BK14))=0</formula>
    </cfRule>
  </conditionalFormatting>
  <conditionalFormatting sqref="AR11:AS40 AU11:AV40">
    <cfRule type="cellIs" dxfId="42" priority="38" operator="equal">
      <formula>50</formula>
    </cfRule>
  </conditionalFormatting>
  <conditionalFormatting sqref="BP14:BP40">
    <cfRule type="containsBlanks" dxfId="41" priority="37">
      <formula>LEN(TRIM(BP14))=0</formula>
    </cfRule>
  </conditionalFormatting>
  <conditionalFormatting sqref="BS27:BS41">
    <cfRule type="containsBlanks" dxfId="40" priority="36">
      <formula>LEN(TRIM(BS27))=0</formula>
    </cfRule>
  </conditionalFormatting>
  <conditionalFormatting sqref="BU14:BU26">
    <cfRule type="containsBlanks" dxfId="39" priority="35">
      <formula>LEN(TRIM(BU14))=0</formula>
    </cfRule>
  </conditionalFormatting>
  <conditionalFormatting sqref="BX14:BX26">
    <cfRule type="containsBlanks" dxfId="38" priority="34">
      <formula>LEN(TRIM(BX14))=0</formula>
    </cfRule>
  </conditionalFormatting>
  <conditionalFormatting sqref="CA14:CA26">
    <cfRule type="containsBlanks" dxfId="37" priority="33">
      <formula>LEN(TRIM(CA14))=0</formula>
    </cfRule>
  </conditionalFormatting>
  <conditionalFormatting sqref="CC14:CC26">
    <cfRule type="containsBlanks" dxfId="36" priority="32">
      <formula>LEN(TRIM(CC14))=0</formula>
    </cfRule>
  </conditionalFormatting>
  <conditionalFormatting sqref="CE14:CF40">
    <cfRule type="containsBlanks" dxfId="35" priority="31">
      <formula>LEN(TRIM(CE14))=0</formula>
    </cfRule>
  </conditionalFormatting>
  <conditionalFormatting sqref="N11:Q13 P14:Q40">
    <cfRule type="cellIs" dxfId="34" priority="59" operator="greaterThan">
      <formula>N89</formula>
    </cfRule>
  </conditionalFormatting>
  <conditionalFormatting sqref="W30:X30 W14 W39:X39 W25">
    <cfRule type="cellIs" dxfId="33" priority="60" operator="greaterThan">
      <formula>W92</formula>
    </cfRule>
  </conditionalFormatting>
  <conditionalFormatting sqref="AD43:AE43">
    <cfRule type="cellIs" dxfId="32" priority="30" operator="equal">
      <formula>"nok"</formula>
    </cfRule>
  </conditionalFormatting>
  <conditionalFormatting sqref="CH39:CH40">
    <cfRule type="containsBlanks" dxfId="31" priority="29">
      <formula>LEN(TRIM(CH39))=0</formula>
    </cfRule>
  </conditionalFormatting>
  <conditionalFormatting sqref="F11:G12">
    <cfRule type="cellIs" dxfId="30" priority="27" operator="lessThan">
      <formula>F127</formula>
    </cfRule>
  </conditionalFormatting>
  <conditionalFormatting sqref="F11:G12">
    <cfRule type="cellIs" dxfId="29" priority="28" operator="greaterThan">
      <formula>F89</formula>
    </cfRule>
  </conditionalFormatting>
  <conditionalFormatting sqref="S43:T43 V43:X43 Z43:AB43">
    <cfRule type="cellIs" dxfId="28" priority="47" operator="greaterThan">
      <formula>S121</formula>
    </cfRule>
  </conditionalFormatting>
  <conditionalFormatting sqref="B45:E45">
    <cfRule type="cellIs" dxfId="27" priority="25" operator="lessThan">
      <formula>B$161</formula>
    </cfRule>
    <cfRule type="cellIs" dxfId="26" priority="26" operator="greaterThan">
      <formula>B$123</formula>
    </cfRule>
  </conditionalFormatting>
  <conditionalFormatting sqref="F44">
    <cfRule type="cellIs" dxfId="25" priority="24" operator="greaterThan">
      <formula>$F$122</formula>
    </cfRule>
  </conditionalFormatting>
  <conditionalFormatting sqref="H44:H45">
    <cfRule type="cellIs" dxfId="24" priority="23" operator="greaterThan">
      <formula>$H$122</formula>
    </cfRule>
  </conditionalFormatting>
  <conditionalFormatting sqref="I44">
    <cfRule type="cellIs" dxfId="23" priority="22" operator="greaterThan">
      <formula>$I$122</formula>
    </cfRule>
  </conditionalFormatting>
  <conditionalFormatting sqref="K44:Q45">
    <cfRule type="cellIs" dxfId="22" priority="20" operator="equal">
      <formula>"INC"</formula>
    </cfRule>
    <cfRule type="cellIs" dxfId="21" priority="21" operator="equal">
      <formula>"AEE"</formula>
    </cfRule>
  </conditionalFormatting>
  <conditionalFormatting sqref="E46">
    <cfRule type="cellIs" dxfId="20" priority="18" operator="lessThan">
      <formula>$E$162</formula>
    </cfRule>
    <cfRule type="cellIs" dxfId="19" priority="19" operator="greaterThan">
      <formula>$E$124</formula>
    </cfRule>
  </conditionalFormatting>
  <conditionalFormatting sqref="S43:T43 W43:X43 AA43:AB43">
    <cfRule type="cellIs" dxfId="18" priority="50" operator="lessThan">
      <formula>S159</formula>
    </cfRule>
  </conditionalFormatting>
  <conditionalFormatting sqref="B14:E40 F11:I13 H14:M39 H40:I40 L40:M40 N11:Q13 P14:V40 W14 W25 W30:X30 W39:X39 Y19:Y40 Z14:AE41 B45:E45 F44 H44:I45 J43 K44 S43:T43 V43:X43 Z43:AB43 AD43:AE43 C46 E46 U45 Z45 AJ14:AK40 AM14 AM25 AM30:AN30 AM39:AN39">
    <cfRule type="containsBlanks" dxfId="17" priority="16">
      <formula>LEN(TRIM(B11))=0</formula>
    </cfRule>
  </conditionalFormatting>
  <conditionalFormatting sqref="AA41">
    <cfRule type="cellIs" dxfId="16" priority="17" operator="lessThan">
      <formula>AA157</formula>
    </cfRule>
  </conditionalFormatting>
  <conditionalFormatting sqref="CP14:CQ40">
    <cfRule type="containsBlanks" dxfId="15" priority="15">
      <formula>LEN(TRIM(CP14))=0</formula>
    </cfRule>
  </conditionalFormatting>
  <conditionalFormatting sqref="CV14:CW40">
    <cfRule type="containsBlanks" dxfId="14" priority="14">
      <formula>LEN(TRIM(CV14))=0</formula>
    </cfRule>
  </conditionalFormatting>
  <conditionalFormatting sqref="DB25:DC39 DC40 DB23:DB24">
    <cfRule type="containsBlanks" dxfId="13" priority="13">
      <formula>LEN(TRIM(DB23))=0</formula>
    </cfRule>
  </conditionalFormatting>
  <conditionalFormatting sqref="DE23:DE39">
    <cfRule type="containsBlanks" dxfId="12" priority="12">
      <formula>LEN(TRIM(DE23))=0</formula>
    </cfRule>
  </conditionalFormatting>
  <conditionalFormatting sqref="DF25:DF40">
    <cfRule type="containsBlanks" dxfId="11" priority="11">
      <formula>LEN(TRIM(DF25))=0</formula>
    </cfRule>
  </conditionalFormatting>
  <conditionalFormatting sqref="DH23">
    <cfRule type="containsBlanks" dxfId="10" priority="10">
      <formula>LEN(TRIM(DH23))=0</formula>
    </cfRule>
  </conditionalFormatting>
  <conditionalFormatting sqref="DH32">
    <cfRule type="containsBlanks" dxfId="9" priority="9">
      <formula>LEN(TRIM(DH32))=0</formula>
    </cfRule>
  </conditionalFormatting>
  <conditionalFormatting sqref="DI25">
    <cfRule type="containsBlanks" dxfId="8" priority="8">
      <formula>LEN(TRIM(DI25))=0</formula>
    </cfRule>
  </conditionalFormatting>
  <conditionalFormatting sqref="DI33">
    <cfRule type="containsBlanks" dxfId="7" priority="7">
      <formula>LEN(TRIM(DI33))=0</formula>
    </cfRule>
  </conditionalFormatting>
  <conditionalFormatting sqref="AN59:AN80 AJ54:AM79 AL80:AM80">
    <cfRule type="containsBlanks" dxfId="6" priority="6">
      <formula>LEN(TRIM(AJ54))=0</formula>
    </cfRule>
  </conditionalFormatting>
  <conditionalFormatting sqref="DK15:DK40 DL15">
    <cfRule type="containsBlanks" dxfId="5" priority="5">
      <formula>LEN(TRIM(DK15))=0</formula>
    </cfRule>
  </conditionalFormatting>
  <conditionalFormatting sqref="DN15:DN40">
    <cfRule type="containsBlanks" dxfId="4" priority="4">
      <formula>LEN(TRIM(DN15))=0</formula>
    </cfRule>
  </conditionalFormatting>
  <conditionalFormatting sqref="DO15">
    <cfRule type="containsBlanks" dxfId="3" priority="3">
      <formula>LEN(TRIM(DO15))=0</formula>
    </cfRule>
  </conditionalFormatting>
  <conditionalFormatting sqref="CK15 CJ11:CJ40">
    <cfRule type="containsBlanks" dxfId="2" priority="2">
      <formula>LEN(TRIM(CJ11))=0</formula>
    </cfRule>
  </conditionalFormatting>
  <conditionalFormatting sqref="CN15 CM11:CM40">
    <cfRule type="containsBlanks" dxfId="1" priority="1">
      <formula>LEN(TRIM(CM11))=0</formula>
    </cfRule>
  </conditionalFormatting>
  <pageMargins left="0.25" right="0.25" top="0.75" bottom="0.75" header="0.3" footer="0.3"/>
  <pageSetup paperSize="9" scale="5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H3:O34"/>
  <sheetViews>
    <sheetView workbookViewId="0">
      <selection activeCell="A2" sqref="A2"/>
    </sheetView>
  </sheetViews>
  <sheetFormatPr baseColWidth="10" defaultRowHeight="12.75" x14ac:dyDescent="0.2"/>
  <cols>
    <col min="1" max="7" width="11.42578125" style="593"/>
    <col min="8" max="18" width="7.7109375" style="593" customWidth="1"/>
    <col min="19" max="16384" width="11.42578125" style="593"/>
  </cols>
  <sheetData>
    <row r="3" spans="8:15" ht="12.75" customHeight="1" x14ac:dyDescent="0.2">
      <c r="I3" s="594" t="s">
        <v>272</v>
      </c>
      <c r="J3" s="595"/>
      <c r="K3" s="595"/>
      <c r="L3" s="595"/>
      <c r="M3" s="595"/>
      <c r="N3" s="595"/>
      <c r="O3" s="596"/>
    </row>
    <row r="4" spans="8:15" ht="12.75" customHeight="1" x14ac:dyDescent="0.2">
      <c r="I4" s="597"/>
      <c r="J4" s="598"/>
      <c r="K4" s="598"/>
      <c r="L4" s="598"/>
      <c r="M4" s="598"/>
      <c r="N4" s="598"/>
      <c r="O4" s="599"/>
    </row>
    <row r="5" spans="8:15" ht="12.75" customHeight="1" x14ac:dyDescent="0.2">
      <c r="I5" s="600"/>
      <c r="J5" s="601"/>
      <c r="K5" s="601"/>
      <c r="L5" s="601"/>
      <c r="M5" s="601"/>
      <c r="N5" s="601"/>
      <c r="O5" s="602"/>
    </row>
    <row r="6" spans="8:15" x14ac:dyDescent="0.2">
      <c r="I6" s="603" t="s">
        <v>273</v>
      </c>
      <c r="J6" s="603" t="s">
        <v>274</v>
      </c>
      <c r="K6" s="603" t="s">
        <v>275</v>
      </c>
      <c r="L6" s="603" t="s">
        <v>276</v>
      </c>
      <c r="M6" s="603" t="s">
        <v>277</v>
      </c>
      <c r="N6" s="603" t="s">
        <v>278</v>
      </c>
      <c r="O6" s="603" t="s">
        <v>279</v>
      </c>
    </row>
    <row r="7" spans="8:15" x14ac:dyDescent="0.2">
      <c r="I7" s="603"/>
      <c r="J7" s="603"/>
      <c r="K7" s="603"/>
      <c r="L7" s="603"/>
      <c r="M7" s="603"/>
      <c r="N7" s="603"/>
      <c r="O7" s="603"/>
    </row>
    <row r="8" spans="8:15" x14ac:dyDescent="0.2">
      <c r="H8" s="604" t="s">
        <v>31</v>
      </c>
      <c r="I8" s="605">
        <v>-0.22</v>
      </c>
      <c r="J8" s="605">
        <v>-7.0000000000000007E-2</v>
      </c>
      <c r="K8" s="605">
        <v>-0.04</v>
      </c>
      <c r="L8" s="605">
        <v>-0.06</v>
      </c>
      <c r="M8" s="605">
        <v>-0.08</v>
      </c>
      <c r="N8" s="605">
        <v>-0.08</v>
      </c>
      <c r="O8" s="605">
        <v>-7.0000000000000007E-2</v>
      </c>
    </row>
    <row r="9" spans="8:15" x14ac:dyDescent="0.2">
      <c r="H9" s="604" t="s">
        <v>32</v>
      </c>
      <c r="I9" s="605">
        <v>0.09</v>
      </c>
      <c r="J9" s="605">
        <v>0.09</v>
      </c>
      <c r="K9" s="605">
        <v>0.02</v>
      </c>
      <c r="L9" s="605">
        <v>-0.02</v>
      </c>
      <c r="M9" s="605">
        <v>-0.05</v>
      </c>
      <c r="N9" s="605">
        <v>-7.0000000000000007E-2</v>
      </c>
      <c r="O9" s="605">
        <v>-0.09</v>
      </c>
    </row>
    <row r="10" spans="8:15" x14ac:dyDescent="0.2">
      <c r="H10" s="604" t="s">
        <v>33</v>
      </c>
      <c r="I10" s="605">
        <v>0.16</v>
      </c>
      <c r="J10" s="605">
        <v>0.15</v>
      </c>
      <c r="K10" s="605">
        <v>7.0000000000000007E-2</v>
      </c>
      <c r="L10" s="605">
        <v>0.01</v>
      </c>
      <c r="M10" s="605">
        <v>-0.01</v>
      </c>
      <c r="N10" s="605">
        <v>-0.03</v>
      </c>
      <c r="O10" s="605">
        <v>-0.04</v>
      </c>
    </row>
    <row r="11" spans="8:15" x14ac:dyDescent="0.2">
      <c r="H11" s="604" t="s">
        <v>34</v>
      </c>
      <c r="I11" s="605">
        <v>0.28000000000000003</v>
      </c>
      <c r="J11" s="605">
        <v>0.24</v>
      </c>
      <c r="K11" s="605">
        <v>0.14000000000000001</v>
      </c>
      <c r="L11" s="605">
        <v>7.0000000000000007E-2</v>
      </c>
      <c r="M11" s="605">
        <v>0.04</v>
      </c>
      <c r="N11" s="605">
        <v>0.01</v>
      </c>
      <c r="O11" s="605">
        <v>0</v>
      </c>
    </row>
    <row r="12" spans="8:15" x14ac:dyDescent="0.2">
      <c r="H12" s="604" t="s">
        <v>35</v>
      </c>
      <c r="I12" s="605">
        <v>0.33</v>
      </c>
      <c r="J12" s="605">
        <v>0.24</v>
      </c>
      <c r="K12" s="605">
        <v>0.15</v>
      </c>
      <c r="L12" s="605">
        <v>0.1</v>
      </c>
      <c r="M12" s="605">
        <v>0.06</v>
      </c>
      <c r="N12" s="605">
        <v>0.04</v>
      </c>
      <c r="O12" s="605">
        <v>0.02</v>
      </c>
    </row>
    <row r="13" spans="8:15" x14ac:dyDescent="0.2">
      <c r="H13" s="604" t="s">
        <v>36</v>
      </c>
      <c r="I13" s="605">
        <v>0.37</v>
      </c>
      <c r="J13" s="605">
        <v>0.28000000000000003</v>
      </c>
      <c r="K13" s="605">
        <v>0.17</v>
      </c>
      <c r="L13" s="605">
        <v>0.11</v>
      </c>
      <c r="M13" s="605">
        <v>0.09</v>
      </c>
      <c r="N13" s="605">
        <v>0.05</v>
      </c>
      <c r="O13" s="605">
        <v>0.04</v>
      </c>
    </row>
    <row r="14" spans="8:15" x14ac:dyDescent="0.2">
      <c r="H14" s="604" t="s">
        <v>37</v>
      </c>
      <c r="I14" s="605">
        <v>0.31</v>
      </c>
      <c r="J14" s="605">
        <v>0.24</v>
      </c>
      <c r="K14" s="605">
        <v>0.14000000000000001</v>
      </c>
      <c r="L14" s="605">
        <v>0.1</v>
      </c>
      <c r="M14" s="605">
        <v>0.08</v>
      </c>
      <c r="N14" s="605">
        <v>7.0000000000000007E-2</v>
      </c>
      <c r="O14" s="605">
        <v>0.05</v>
      </c>
    </row>
    <row r="15" spans="8:15" x14ac:dyDescent="0.2">
      <c r="H15" s="604" t="s">
        <v>38</v>
      </c>
      <c r="I15" s="605">
        <v>0.16</v>
      </c>
      <c r="J15" s="605">
        <v>0.15</v>
      </c>
      <c r="K15" s="605">
        <v>0.11</v>
      </c>
      <c r="L15" s="605">
        <v>0.09</v>
      </c>
      <c r="M15" s="605">
        <v>0.08</v>
      </c>
      <c r="N15" s="605">
        <v>0.08</v>
      </c>
      <c r="O15" s="605">
        <v>7.0000000000000007E-2</v>
      </c>
    </row>
    <row r="16" spans="8:15" x14ac:dyDescent="0.2">
      <c r="H16" s="604" t="s">
        <v>39</v>
      </c>
      <c r="I16" s="605">
        <v>0.11</v>
      </c>
      <c r="J16" s="605">
        <v>0.09</v>
      </c>
      <c r="K16" s="605">
        <v>0.08</v>
      </c>
      <c r="L16" s="605">
        <v>0.09</v>
      </c>
      <c r="M16" s="605">
        <v>0.09</v>
      </c>
      <c r="N16" s="605">
        <v>0.08</v>
      </c>
      <c r="O16" s="605">
        <v>0.13</v>
      </c>
    </row>
    <row r="17" spans="8:15" x14ac:dyDescent="0.2">
      <c r="H17" s="604" t="s">
        <v>40</v>
      </c>
      <c r="I17" s="605">
        <v>0.08</v>
      </c>
      <c r="J17" s="605">
        <v>0.09</v>
      </c>
      <c r="K17" s="605">
        <v>0.09</v>
      </c>
      <c r="L17" s="605">
        <v>0.17</v>
      </c>
      <c r="M17" s="605">
        <v>0.16</v>
      </c>
      <c r="N17" s="605">
        <v>0.15</v>
      </c>
      <c r="O17" s="605">
        <v>0.15</v>
      </c>
    </row>
    <row r="18" spans="8:15" x14ac:dyDescent="0.2">
      <c r="H18" s="604" t="s">
        <v>41</v>
      </c>
      <c r="I18" s="605">
        <v>0.14000000000000001</v>
      </c>
      <c r="J18" s="605">
        <v>0.13</v>
      </c>
      <c r="K18" s="605">
        <v>0.15</v>
      </c>
      <c r="L18" s="605">
        <v>0.16</v>
      </c>
      <c r="M18" s="605">
        <v>0.16</v>
      </c>
      <c r="N18" s="605">
        <v>0.15</v>
      </c>
      <c r="O18" s="605">
        <v>0.15</v>
      </c>
    </row>
    <row r="19" spans="8:15" x14ac:dyDescent="0.2">
      <c r="H19" s="604" t="s">
        <v>42</v>
      </c>
      <c r="I19" s="605">
        <v>0.17</v>
      </c>
      <c r="J19" s="605">
        <v>0.16</v>
      </c>
      <c r="K19" s="605">
        <v>0.17</v>
      </c>
      <c r="L19" s="605">
        <v>0.16</v>
      </c>
      <c r="M19" s="605">
        <v>0.16</v>
      </c>
      <c r="N19" s="605">
        <v>0.16</v>
      </c>
      <c r="O19" s="605">
        <v>0.16</v>
      </c>
    </row>
    <row r="20" spans="8:15" x14ac:dyDescent="0.2">
      <c r="H20" s="604" t="s">
        <v>43</v>
      </c>
      <c r="I20" s="605">
        <v>0.13</v>
      </c>
      <c r="J20" s="605">
        <v>0.13</v>
      </c>
      <c r="K20" s="605">
        <v>0.15</v>
      </c>
      <c r="L20" s="605">
        <v>0.15</v>
      </c>
      <c r="M20" s="605">
        <v>0.15</v>
      </c>
      <c r="N20" s="605">
        <v>0.14000000000000001</v>
      </c>
      <c r="O20" s="605">
        <v>0.14000000000000001</v>
      </c>
    </row>
    <row r="21" spans="8:15" x14ac:dyDescent="0.2">
      <c r="H21" s="604" t="s">
        <v>44</v>
      </c>
      <c r="I21" s="605">
        <v>0.12</v>
      </c>
      <c r="J21" s="605">
        <v>0.13</v>
      </c>
      <c r="K21" s="605">
        <v>0.14000000000000001</v>
      </c>
      <c r="L21" s="605">
        <v>0.14000000000000001</v>
      </c>
      <c r="M21" s="605">
        <v>0.14000000000000001</v>
      </c>
      <c r="N21" s="605">
        <v>0.14000000000000001</v>
      </c>
      <c r="O21" s="605">
        <v>0.14000000000000001</v>
      </c>
    </row>
    <row r="22" spans="8:15" x14ac:dyDescent="0.2">
      <c r="H22" s="604" t="s">
        <v>45</v>
      </c>
      <c r="I22" s="605">
        <v>0.13</v>
      </c>
      <c r="J22" s="605">
        <v>0.14000000000000001</v>
      </c>
      <c r="K22" s="605">
        <v>0.13</v>
      </c>
      <c r="L22" s="605">
        <v>0.13</v>
      </c>
      <c r="M22" s="605">
        <v>0.13</v>
      </c>
      <c r="N22" s="605">
        <v>0.13</v>
      </c>
      <c r="O22" s="605">
        <v>0.12</v>
      </c>
    </row>
    <row r="23" spans="8:15" x14ac:dyDescent="0.2">
      <c r="H23" s="604" t="s">
        <v>46</v>
      </c>
      <c r="I23" s="605">
        <v>0.11</v>
      </c>
      <c r="J23" s="605">
        <v>0.11</v>
      </c>
      <c r="K23" s="605">
        <v>0.01</v>
      </c>
      <c r="L23" s="605">
        <v>-0.01</v>
      </c>
      <c r="M23" s="605">
        <v>-0.02</v>
      </c>
      <c r="N23" s="605">
        <v>-0.02</v>
      </c>
      <c r="O23" s="605">
        <v>-0.01</v>
      </c>
    </row>
    <row r="24" spans="8:15" x14ac:dyDescent="0.2">
      <c r="H24" s="604" t="s">
        <v>47</v>
      </c>
      <c r="I24" s="605">
        <v>-0.01</v>
      </c>
      <c r="J24" s="605">
        <v>0.04</v>
      </c>
      <c r="K24" s="605">
        <v>0.01</v>
      </c>
      <c r="L24" s="605">
        <v>0</v>
      </c>
      <c r="M24" s="605">
        <v>-0.02</v>
      </c>
      <c r="N24" s="605">
        <v>-0.05</v>
      </c>
      <c r="O24" s="605">
        <v>-0.06</v>
      </c>
    </row>
    <row r="25" spans="8:15" x14ac:dyDescent="0.2">
      <c r="H25" s="604" t="s">
        <v>48</v>
      </c>
      <c r="I25" s="605">
        <v>-0.05</v>
      </c>
      <c r="J25" s="605">
        <v>0.05</v>
      </c>
      <c r="K25" s="605">
        <v>0.05</v>
      </c>
      <c r="L25" s="605">
        <v>0.02</v>
      </c>
      <c r="M25" s="605">
        <v>-0.02</v>
      </c>
      <c r="N25" s="605">
        <v>-0.1</v>
      </c>
      <c r="O25" s="605">
        <v>-0.12</v>
      </c>
    </row>
    <row r="26" spans="8:15" x14ac:dyDescent="0.2">
      <c r="H26" s="604" t="s">
        <v>49</v>
      </c>
      <c r="I26" s="605">
        <v>-7.0000000000000007E-2</v>
      </c>
      <c r="J26" s="605">
        <v>0.04</v>
      </c>
      <c r="K26" s="605">
        <v>0.03</v>
      </c>
      <c r="L26" s="605">
        <v>0</v>
      </c>
      <c r="M26" s="605">
        <v>-0.03</v>
      </c>
      <c r="N26" s="605">
        <v>-0.05</v>
      </c>
      <c r="O26" s="605">
        <v>-0.1</v>
      </c>
    </row>
    <row r="27" spans="8:15" x14ac:dyDescent="0.2">
      <c r="H27" s="604" t="s">
        <v>50</v>
      </c>
      <c r="I27" s="605">
        <v>-0.06</v>
      </c>
      <c r="J27" s="605">
        <v>0.09</v>
      </c>
      <c r="K27" s="605">
        <v>0.09</v>
      </c>
      <c r="L27" s="605">
        <v>0.05</v>
      </c>
      <c r="M27" s="605">
        <v>0.01</v>
      </c>
      <c r="N27" s="605">
        <v>-0.02</v>
      </c>
      <c r="O27" s="605">
        <v>-0.05</v>
      </c>
    </row>
    <row r="28" spans="8:15" x14ac:dyDescent="0.2">
      <c r="H28" s="604" t="s">
        <v>51</v>
      </c>
      <c r="I28" s="605">
        <v>-0.01</v>
      </c>
      <c r="J28" s="605">
        <v>0.12</v>
      </c>
      <c r="K28" s="605">
        <v>0.08</v>
      </c>
      <c r="L28" s="605">
        <v>0.04</v>
      </c>
      <c r="M28" s="605">
        <v>0</v>
      </c>
      <c r="N28" s="605">
        <v>-0.04</v>
      </c>
      <c r="O28" s="605">
        <v>-0.06</v>
      </c>
    </row>
    <row r="29" spans="8:15" x14ac:dyDescent="0.2">
      <c r="H29" s="604" t="s">
        <v>52</v>
      </c>
      <c r="I29" s="605">
        <v>0.17</v>
      </c>
      <c r="J29" s="605">
        <v>0.24</v>
      </c>
      <c r="K29" s="605">
        <v>0.17</v>
      </c>
      <c r="L29" s="605">
        <v>0.1</v>
      </c>
      <c r="M29" s="605">
        <v>0.04</v>
      </c>
      <c r="N29" s="605">
        <v>0</v>
      </c>
      <c r="O29" s="605">
        <v>0</v>
      </c>
    </row>
    <row r="30" spans="8:15" x14ac:dyDescent="0.2">
      <c r="H30" s="604" t="s">
        <v>53</v>
      </c>
      <c r="I30" s="605">
        <v>0.32</v>
      </c>
      <c r="J30" s="605">
        <v>0.31</v>
      </c>
      <c r="K30" s="605">
        <v>0.19</v>
      </c>
      <c r="L30" s="605">
        <v>0.12</v>
      </c>
      <c r="M30" s="605">
        <v>7.0000000000000007E-2</v>
      </c>
      <c r="N30" s="605">
        <v>0.05</v>
      </c>
      <c r="O30" s="605">
        <v>0.04</v>
      </c>
    </row>
    <row r="31" spans="8:15" x14ac:dyDescent="0.2">
      <c r="H31" s="604" t="s">
        <v>54</v>
      </c>
      <c r="I31" s="605">
        <v>0.28999999999999998</v>
      </c>
      <c r="J31" s="605">
        <v>0.26</v>
      </c>
      <c r="K31" s="605">
        <v>0.19</v>
      </c>
      <c r="L31" s="605">
        <v>0.13</v>
      </c>
      <c r="M31" s="605">
        <v>0.08</v>
      </c>
      <c r="N31" s="605">
        <v>7.0000000000000007E-2</v>
      </c>
      <c r="O31" s="605">
        <v>0.06</v>
      </c>
    </row>
    <row r="32" spans="8:15" x14ac:dyDescent="0.2">
      <c r="H32" s="604" t="s">
        <v>55</v>
      </c>
      <c r="I32" s="605">
        <v>0.31</v>
      </c>
      <c r="J32" s="605">
        <v>0.28999999999999998</v>
      </c>
      <c r="K32" s="605">
        <v>0.21</v>
      </c>
      <c r="L32" s="605">
        <v>0.16</v>
      </c>
      <c r="M32" s="605">
        <v>0.13</v>
      </c>
      <c r="N32" s="605">
        <v>0.11</v>
      </c>
      <c r="O32" s="605">
        <v>0.1</v>
      </c>
    </row>
    <row r="33" spans="8:15" x14ac:dyDescent="0.2">
      <c r="H33" s="604" t="s">
        <v>56</v>
      </c>
      <c r="I33" s="605">
        <v>0.34</v>
      </c>
      <c r="J33" s="605">
        <v>0.31</v>
      </c>
      <c r="K33" s="605">
        <v>0.21</v>
      </c>
      <c r="L33" s="605">
        <v>0.15</v>
      </c>
      <c r="M33" s="605">
        <v>0.11</v>
      </c>
      <c r="N33" s="605">
        <v>0.1</v>
      </c>
      <c r="O33" s="605">
        <v>0.1</v>
      </c>
    </row>
    <row r="34" spans="8:15" x14ac:dyDescent="0.2">
      <c r="H34" s="604" t="s">
        <v>57</v>
      </c>
      <c r="I34" s="605">
        <v>0.32</v>
      </c>
      <c r="J34" s="605">
        <v>0.3</v>
      </c>
      <c r="K34" s="605">
        <v>0.23</v>
      </c>
      <c r="L34" s="605">
        <v>0.18</v>
      </c>
      <c r="M34" s="605">
        <v>0.14000000000000001</v>
      </c>
      <c r="N34" s="605">
        <v>0.12</v>
      </c>
      <c r="O34" s="605">
        <v>0.11</v>
      </c>
    </row>
  </sheetData>
  <mergeCells count="8">
    <mergeCell ref="I3:O5"/>
    <mergeCell ref="I6:I7"/>
    <mergeCell ref="J6:J7"/>
    <mergeCell ref="K6:K7"/>
    <mergeCell ref="L6:L7"/>
    <mergeCell ref="M6:M7"/>
    <mergeCell ref="N6:N7"/>
    <mergeCell ref="O6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AC27"/>
  <sheetViews>
    <sheetView workbookViewId="0"/>
  </sheetViews>
  <sheetFormatPr baseColWidth="10" defaultColWidth="11.42578125" defaultRowHeight="12.75" x14ac:dyDescent="0.2"/>
  <cols>
    <col min="1" max="1" width="11.42578125" style="570"/>
    <col min="2" max="2" width="30" style="570" customWidth="1"/>
    <col min="3" max="6" width="12.7109375" style="570" customWidth="1"/>
    <col min="7" max="16384" width="11.42578125" style="570"/>
  </cols>
  <sheetData>
    <row r="1" spans="1:29" s="567" customFormat="1" x14ac:dyDescent="0.2">
      <c r="B1" s="567" t="s">
        <v>108</v>
      </c>
      <c r="C1" s="567" t="s">
        <v>109</v>
      </c>
      <c r="D1" s="567" t="s">
        <v>110</v>
      </c>
      <c r="E1" s="567" t="s">
        <v>111</v>
      </c>
      <c r="F1" s="567" t="s">
        <v>112</v>
      </c>
      <c r="G1" s="567" t="s">
        <v>113</v>
      </c>
      <c r="H1" s="567" t="s">
        <v>114</v>
      </c>
      <c r="I1" s="567" t="s">
        <v>82</v>
      </c>
      <c r="J1" s="567" t="s">
        <v>83</v>
      </c>
      <c r="K1" s="567" t="s">
        <v>115</v>
      </c>
      <c r="L1" s="567" t="s">
        <v>116</v>
      </c>
      <c r="M1" s="567" t="s">
        <v>117</v>
      </c>
      <c r="N1" s="567" t="s">
        <v>118</v>
      </c>
      <c r="O1" s="567" t="s">
        <v>119</v>
      </c>
      <c r="P1" s="567" t="s">
        <v>84</v>
      </c>
      <c r="Q1" s="567" t="s">
        <v>85</v>
      </c>
      <c r="R1" s="567" t="s">
        <v>120</v>
      </c>
      <c r="S1" s="567" t="s">
        <v>260</v>
      </c>
      <c r="T1" s="567" t="s">
        <v>261</v>
      </c>
      <c r="U1" s="567" t="s">
        <v>123</v>
      </c>
      <c r="V1" s="567" t="s">
        <v>124</v>
      </c>
      <c r="W1" s="567" t="s">
        <v>86</v>
      </c>
      <c r="X1" s="567" t="s">
        <v>262</v>
      </c>
      <c r="Y1" s="567" t="s">
        <v>263</v>
      </c>
      <c r="Z1" s="567" t="s">
        <v>127</v>
      </c>
      <c r="AA1" s="567" t="s">
        <v>264</v>
      </c>
      <c r="AB1" s="567" t="s">
        <v>265</v>
      </c>
      <c r="AC1" s="567" t="s">
        <v>130</v>
      </c>
    </row>
    <row r="2" spans="1:29" x14ac:dyDescent="0.2">
      <c r="A2" s="568" t="s">
        <v>266</v>
      </c>
      <c r="B2" s="569" t="s">
        <v>108</v>
      </c>
      <c r="C2" s="568" t="s">
        <v>267</v>
      </c>
      <c r="D2" s="568" t="s">
        <v>268</v>
      </c>
      <c r="E2" s="568" t="s">
        <v>269</v>
      </c>
      <c r="F2" s="568" t="s">
        <v>270</v>
      </c>
      <c r="G2" s="568" t="s">
        <v>271</v>
      </c>
    </row>
    <row r="3" spans="1:29" x14ac:dyDescent="0.2">
      <c r="A3" s="571" t="s">
        <v>28</v>
      </c>
      <c r="B3" s="572" t="str">
        <f>$B$2</f>
        <v>L1</v>
      </c>
      <c r="C3" s="573" t="str">
        <f ca="1">IF(INDIRECT(ADDRESS(C$27+MATCH($A3,[1]Client!$A$51:$A$80,0),1+MATCH($B3,[1]Client!$B$48:$AE$48,0),1,0,"Client"),0)&lt;&gt;"",INDIRECT(ADDRESS(C$27+MATCH($A3,[1]Client!$A$51:$A$80,0),1+MATCH($B3,[1]Client!$B$48:$AE$48,0),1,0,"Client"),0),"")</f>
        <v/>
      </c>
      <c r="D3" s="573" t="str">
        <f ca="1">IF(INDIRECT(ADDRESS(D$27+MATCH($A3,[1]Client!$A$51:$A$80,0),1+MATCH($B3,[1]Client!$B$48:$AE$48,0),1,0,"Client"),0)&lt;&gt;"",IF(INDIRECT(ADDRESS(D$27+MATCH($A3,[1]Client!$A$51:$A$80,0),1+MATCH($B3,[1]Client!$B$48:$AE$48,0),1,0,"Client"),0)&lt;&gt;"-",INDIRECT(ADDRESS(D$27+MATCH($A3,[1]Client!$A$51:$A$80,0),1+MATCH($B3,[1]Client!$B$48:$AE$48,0),1,0,"Client"),0)-INDIRECT(ADDRESS(C$27+MATCH($A3,[1]Client!$A$51:$A$80,0),1+MATCH($B3,[1]Client!$B$48:$AE$48,0),1,0,"Client"),0),"-"),"")</f>
        <v/>
      </c>
      <c r="E3" s="573" t="str">
        <f ca="1">IF(INDIRECT(ADDRESS(E$27+MATCH($A3,[1]Client!$A$51:$A$80,0),1+MATCH($B3,[1]Client!$B$48:$AE$48,0),1,0,"Client"),0)&lt;&gt;"",IF(INDIRECT(ADDRESS(E$27+MATCH($A3,[1]Client!$A$51:$A$80,0),1+MATCH($B3,[1]Client!$B$48:$AE$48,0),1,0,"Client"),0)&lt;&gt;"-",INDIRECT(ADDRESS(E$27+MATCH($A3,[1]Client!$A$51:$A$80,0),1+MATCH($B3,[1]Client!$B$48:$AE$48,0),1,0,"Client"),0)-INDIRECT(ADDRESS(C$27+MATCH($A3,[1]Client!$A$51:$A$80,0),1+MATCH($B3,[1]Client!$B$48:$AE$48,0),1,0,"Client"),0),"-"),"")</f>
        <v/>
      </c>
      <c r="F3" s="574" t="str">
        <f ca="1">IF(INDIRECT(ADDRESS(C$27+MATCH($A3,[1]Client!$A$51:$A$80,0),1+MATCH($B3,[1]Client!$B$48:$AE$48,0),1,0,"Client"),0)&lt;&gt;"",INDIRECT(ADDRESS(F$27+MATCH($A3,[1]Client!$A$51:$A$80,0),1+MATCH($B3,[1]Client!$B$48:$AE$48,0),1,0,"Client"),0),"")</f>
        <v/>
      </c>
      <c r="G3" s="575" t="str">
        <f ca="1">IF($C3&lt;&gt;"",IF(AND($D3&lt;&gt;"-",$E3&lt;&gt;"-"),ROUND(F3-C3,2),ROUND(100*(LEFT($F3,SEARCH("|",$F3)-1)/RIGHT($F3,LEN($F3)-SEARCH("|",$F3))),0)&amp;"%"),"")</f>
        <v/>
      </c>
      <c r="H3" s="576"/>
    </row>
    <row r="4" spans="1:29" x14ac:dyDescent="0.2">
      <c r="A4" s="577" t="s">
        <v>29</v>
      </c>
      <c r="B4" s="578" t="str">
        <f t="shared" ref="B4:B26" si="0">$B$2</f>
        <v>L1</v>
      </c>
      <c r="C4" s="579" t="str">
        <f ca="1">IF(INDIRECT(ADDRESS(C$27+MATCH($A4,[1]Client!$A$51:$A$80,0),1+MATCH($B4,[1]Client!$B$48:$AE$48,0),1,0,"Client"),0)&lt;&gt;"",INDIRECT(ADDRESS(C$27+MATCH($A4,[1]Client!$A$51:$A$80,0),1+MATCH($B4,[1]Client!$B$48:$AE$48,0),1,0,"Client"),0),"")</f>
        <v/>
      </c>
      <c r="D4" s="579" t="str">
        <f ca="1">IF(INDIRECT(ADDRESS(D$27+MATCH($A4,[1]Client!$A$51:$A$80,0),1+MATCH($B4,[1]Client!$B$48:$AE$48,0),1,0,"Client"),0)&lt;&gt;"",IF(INDIRECT(ADDRESS(D$27+MATCH($A4,[1]Client!$A$51:$A$80,0),1+MATCH($B4,[1]Client!$B$48:$AE$48,0),1,0,"Client"),0)&lt;&gt;"-",INDIRECT(ADDRESS(D$27+MATCH($A4,[1]Client!$A$51:$A$80,0),1+MATCH($B4,[1]Client!$B$48:$AE$48,0),1,0,"Client"),0)-INDIRECT(ADDRESS(C$27+MATCH($A4,[1]Client!$A$51:$A$80,0),1+MATCH($B4,[1]Client!$B$48:$AE$48,0),1,0,"Client"),0),"-"),"")</f>
        <v/>
      </c>
      <c r="E4" s="579" t="str">
        <f ca="1">IF(INDIRECT(ADDRESS(E$27+MATCH($A4,[1]Client!$A$51:$A$80,0),1+MATCH($B4,[1]Client!$B$48:$AE$48,0),1,0,"Client"),0)&lt;&gt;"",IF(INDIRECT(ADDRESS(E$27+MATCH($A4,[1]Client!$A$51:$A$80,0),1+MATCH($B4,[1]Client!$B$48:$AE$48,0),1,0,"Client"),0)&lt;&gt;"-",INDIRECT(ADDRESS(E$27+MATCH($A4,[1]Client!$A$51:$A$80,0),1+MATCH($B4,[1]Client!$B$48:$AE$48,0),1,0,"Client"),0)-INDIRECT(ADDRESS(C$27+MATCH($A4,[1]Client!$A$51:$A$80,0),1+MATCH($B4,[1]Client!$B$48:$AE$48,0),1,0,"Client"),0),"-"),"")</f>
        <v/>
      </c>
      <c r="F4" s="580" t="str">
        <f ca="1">IF(INDIRECT(ADDRESS(C$27+MATCH($A4,[1]Client!$A$51:$A$80,0),1+MATCH($B4,[1]Client!$B$48:$AE$48,0),1,0,"Client"),0)&lt;&gt;"",INDIRECT(ADDRESS(F$27+MATCH($A4,[1]Client!$A$51:$A$80,0),1+MATCH($B4,[1]Client!$B$48:$AE$48,0),1,0,"Client"),0),"")</f>
        <v/>
      </c>
      <c r="G4" s="581" t="str">
        <f t="shared" ref="G4:G26" ca="1" si="1">IF($C4&lt;&gt;"",IF(AND($D4&lt;&gt;"-",$E4&lt;&gt;"-"),ROUND(F4-C4,2),ROUND(100*(LEFT($F4,SEARCH("|",$F4)-1)/RIGHT($F4,LEN($F4)-SEARCH("|",$F4))),0)&amp;"%"),"")</f>
        <v/>
      </c>
    </row>
    <row r="5" spans="1:29" x14ac:dyDescent="0.2">
      <c r="A5" s="582" t="s">
        <v>30</v>
      </c>
      <c r="B5" s="583" t="str">
        <f t="shared" si="0"/>
        <v>L1</v>
      </c>
      <c r="C5" s="584" t="str">
        <f ca="1">IF(INDIRECT(ADDRESS(C$27+MATCH($A5,[1]Client!$A$51:$A$80,0),1+MATCH($B5,[1]Client!$B$48:$AE$48,0),1,0,"Client"),0)&lt;&gt;"",INDIRECT(ADDRESS(C$27+MATCH($A5,[1]Client!$A$51:$A$80,0),1+MATCH($B5,[1]Client!$B$48:$AE$48,0),1,0,"Client"),0),"")</f>
        <v/>
      </c>
      <c r="D5" s="584" t="str">
        <f ca="1">IF(INDIRECT(ADDRESS(D$27+MATCH($A5,[1]Client!$A$51:$A$80,0),1+MATCH($B5,[1]Client!$B$48:$AE$48,0),1,0,"Client"),0)&lt;&gt;"",IF(INDIRECT(ADDRESS(D$27+MATCH($A5,[1]Client!$A$51:$A$80,0),1+MATCH($B5,[1]Client!$B$48:$AE$48,0),1,0,"Client"),0)&lt;&gt;"-",INDIRECT(ADDRESS(D$27+MATCH($A5,[1]Client!$A$51:$A$80,0),1+MATCH($B5,[1]Client!$B$48:$AE$48,0),1,0,"Client"),0)-INDIRECT(ADDRESS(C$27+MATCH($A5,[1]Client!$A$51:$A$80,0),1+MATCH($B5,[1]Client!$B$48:$AE$48,0),1,0,"Client"),0),"-"),"")</f>
        <v/>
      </c>
      <c r="E5" s="584" t="str">
        <f ca="1">IF(INDIRECT(ADDRESS(E$27+MATCH($A5,[1]Client!$A$51:$A$80,0),1+MATCH($B5,[1]Client!$B$48:$AE$48,0),1,0,"Client"),0)&lt;&gt;"",IF(INDIRECT(ADDRESS(E$27+MATCH($A5,[1]Client!$A$51:$A$80,0),1+MATCH($B5,[1]Client!$B$48:$AE$48,0),1,0,"Client"),0)&lt;&gt;"-",INDIRECT(ADDRESS(E$27+MATCH($A5,[1]Client!$A$51:$A$80,0),1+MATCH($B5,[1]Client!$B$48:$AE$48,0),1,0,"Client"),0)-INDIRECT(ADDRESS(C$27+MATCH($A5,[1]Client!$A$51:$A$80,0),1+MATCH($B5,[1]Client!$B$48:$AE$48,0),1,0,"Client"),0),"-"),"")</f>
        <v/>
      </c>
      <c r="F5" s="585" t="str">
        <f ca="1">IF(INDIRECT(ADDRESS(C$27+MATCH($A5,[1]Client!$A$51:$A$80,0),1+MATCH($B5,[1]Client!$B$48:$AE$48,0),1,0,"Client"),0)&lt;&gt;"",INDIRECT(ADDRESS(F$27+MATCH($A5,[1]Client!$A$51:$A$80,0),1+MATCH($B5,[1]Client!$B$48:$AE$48,0),1,0,"Client"),0),"")</f>
        <v/>
      </c>
      <c r="G5" s="586" t="str">
        <f t="shared" ca="1" si="1"/>
        <v/>
      </c>
    </row>
    <row r="6" spans="1:29" x14ac:dyDescent="0.2">
      <c r="A6" s="587" t="s">
        <v>31</v>
      </c>
      <c r="B6" s="588" t="str">
        <f t="shared" si="0"/>
        <v>L1</v>
      </c>
      <c r="C6" s="589">
        <f ca="1">IF(INDIRECT(ADDRESS(C$27+MATCH($A6,[1]Client!$A$51:$A$80,0),1+MATCH($B6,[1]Client!$B$48:$AE$48,0),1,0,"Client"),0)&lt;&gt;"",INDIRECT(ADDRESS(C$27+MATCH($A6,[1]Client!$A$51:$A$80,0),1+MATCH($B6,[1]Client!$B$48:$AE$48,0),1,0,"Client"),0),"")</f>
        <v>3.95</v>
      </c>
      <c r="D6" s="589">
        <f ca="1">IF(INDIRECT(ADDRESS(D$27+MATCH($A6,[1]Client!$A$51:$A$80,0),1+MATCH($B6,[1]Client!$B$48:$AE$48,0),1,0,"Client"),0)&lt;&gt;"",IF(INDIRECT(ADDRESS(D$27+MATCH($A6,[1]Client!$A$51:$A$80,0),1+MATCH($B6,[1]Client!$B$48:$AE$48,0),1,0,"Client"),0)&lt;&gt;"-",INDIRECT(ADDRESS(D$27+MATCH($A6,[1]Client!$A$51:$A$80,0),1+MATCH($B6,[1]Client!$B$48:$AE$48,0),1,0,"Client"),0)-INDIRECT(ADDRESS(C$27+MATCH($A6,[1]Client!$A$51:$A$80,0),1+MATCH($B6,[1]Client!$B$48:$AE$48,0),1,0,"Client"),0),"-"),"")</f>
        <v>1.5</v>
      </c>
      <c r="E6" s="589">
        <f ca="1">IF(INDIRECT(ADDRESS(E$27+MATCH($A6,[1]Client!$A$51:$A$80,0),1+MATCH($B6,[1]Client!$B$48:$AE$48,0),1,0,"Client"),0)&lt;&gt;"",IF(INDIRECT(ADDRESS(E$27+MATCH($A6,[1]Client!$A$51:$A$80,0),1+MATCH($B6,[1]Client!$B$48:$AE$48,0),1,0,"Client"),0)&lt;&gt;"-",INDIRECT(ADDRESS(E$27+MATCH($A6,[1]Client!$A$51:$A$80,0),1+MATCH($B6,[1]Client!$B$48:$AE$48,0),1,0,"Client"),0)-INDIRECT(ADDRESS(C$27+MATCH($A6,[1]Client!$A$51:$A$80,0),1+MATCH($B6,[1]Client!$B$48:$AE$48,0),1,0,"Client"),0),"-"),"")</f>
        <v>-0.5</v>
      </c>
      <c r="F6" s="574">
        <f ca="1">IF(INDIRECT(ADDRESS(C$27+MATCH($A6,[1]Client!$A$51:$A$80,0),1+MATCH($B6,[1]Client!$B$48:$AE$48,0),1,0,"Client"),0)&lt;&gt;"",INDIRECT(ADDRESS(F$27+MATCH($A6,[1]Client!$A$51:$A$80,0),1+MATCH($B6,[1]Client!$B$48:$AE$48,0),1,0,"Client"),0),"")</f>
        <v>4.2430000000000003</v>
      </c>
      <c r="G6" s="575">
        <f t="shared" ca="1" si="1"/>
        <v>0.28999999999999998</v>
      </c>
    </row>
    <row r="7" spans="1:29" x14ac:dyDescent="0.2">
      <c r="A7" s="577" t="s">
        <v>33</v>
      </c>
      <c r="B7" s="578" t="str">
        <f t="shared" si="0"/>
        <v>L1</v>
      </c>
      <c r="C7" s="579">
        <f ca="1">IF(INDIRECT(ADDRESS(C$27+MATCH($A7,[1]Client!$A$51:$A$80,0),1+MATCH($B7,[1]Client!$B$48:$AE$48,0),1,0,"Client"),0)&lt;&gt;"",INDIRECT(ADDRESS(C$27+MATCH($A7,[1]Client!$A$51:$A$80,0),1+MATCH($B7,[1]Client!$B$48:$AE$48,0),1,0,"Client"),0),"")</f>
        <v>4.3499999999999996</v>
      </c>
      <c r="D7" s="579">
        <f ca="1">IF(INDIRECT(ADDRESS(D$27+MATCH($A7,[1]Client!$A$51:$A$80,0),1+MATCH($B7,[1]Client!$B$48:$AE$48,0),1,0,"Client"),0)&lt;&gt;"",IF(INDIRECT(ADDRESS(D$27+MATCH($A7,[1]Client!$A$51:$A$80,0),1+MATCH($B7,[1]Client!$B$48:$AE$48,0),1,0,"Client"),0)&lt;&gt;"-",INDIRECT(ADDRESS(D$27+MATCH($A7,[1]Client!$A$51:$A$80,0),1+MATCH($B7,[1]Client!$B$48:$AE$48,0),1,0,"Client"),0)-INDIRECT(ADDRESS(C$27+MATCH($A7,[1]Client!$A$51:$A$80,0),1+MATCH($B7,[1]Client!$B$48:$AE$48,0),1,0,"Client"),0),"-"),"")</f>
        <v>1.5</v>
      </c>
      <c r="E7" s="579">
        <f ca="1">IF(INDIRECT(ADDRESS(E$27+MATCH($A7,[1]Client!$A$51:$A$80,0),1+MATCH($B7,[1]Client!$B$48:$AE$48,0),1,0,"Client"),0)&lt;&gt;"",IF(INDIRECT(ADDRESS(E$27+MATCH($A7,[1]Client!$A$51:$A$80,0),1+MATCH($B7,[1]Client!$B$48:$AE$48,0),1,0,"Client"),0)&lt;&gt;"-",INDIRECT(ADDRESS(E$27+MATCH($A7,[1]Client!$A$51:$A$80,0),1+MATCH($B7,[1]Client!$B$48:$AE$48,0),1,0,"Client"),0)-INDIRECT(ADDRESS(C$27+MATCH($A7,[1]Client!$A$51:$A$80,0),1+MATCH($B7,[1]Client!$B$48:$AE$48,0),1,0,"Client"),0),"-"),"")</f>
        <v>-0.5</v>
      </c>
      <c r="F7" s="580">
        <f ca="1">IF(INDIRECT(ADDRESS(C$27+MATCH($A7,[1]Client!$A$51:$A$80,0),1+MATCH($B7,[1]Client!$B$48:$AE$48,0),1,0,"Client"),0)&lt;&gt;"",INDIRECT(ADDRESS(F$27+MATCH($A7,[1]Client!$A$51:$A$80,0),1+MATCH($B7,[1]Client!$B$48:$AE$48,0),1,0,"Client"),0),"")</f>
        <v>4.532</v>
      </c>
      <c r="G7" s="581">
        <f t="shared" ca="1" si="1"/>
        <v>0.18</v>
      </c>
    </row>
    <row r="8" spans="1:29" x14ac:dyDescent="0.2">
      <c r="A8" s="590" t="s">
        <v>36</v>
      </c>
      <c r="B8" s="588" t="str">
        <f t="shared" si="0"/>
        <v>L1</v>
      </c>
      <c r="C8" s="589">
        <f ca="1">IF(INDIRECT(ADDRESS(C$27+MATCH($A8,[1]Client!$A$51:$A$80,0),1+MATCH($B8,[1]Client!$B$48:$AE$48,0),1,0,"Client"),0)&lt;&gt;"",INDIRECT(ADDRESS(C$27+MATCH($A8,[1]Client!$A$51:$A$80,0),1+MATCH($B8,[1]Client!$B$48:$AE$48,0),1,0,"Client"),0),"")</f>
        <v>5.99</v>
      </c>
      <c r="D8" s="589">
        <f ca="1">IF(INDIRECT(ADDRESS(D$27+MATCH($A8,[1]Client!$A$51:$A$80,0),1+MATCH($B8,[1]Client!$B$48:$AE$48,0),1,0,"Client"),0)&lt;&gt;"",IF(INDIRECT(ADDRESS(D$27+MATCH($A8,[1]Client!$A$51:$A$80,0),1+MATCH($B8,[1]Client!$B$48:$AE$48,0),1,0,"Client"),0)&lt;&gt;"-",INDIRECT(ADDRESS(D$27+MATCH($A8,[1]Client!$A$51:$A$80,0),1+MATCH($B8,[1]Client!$B$48:$AE$48,0),1,0,"Client"),0)-INDIRECT(ADDRESS(C$27+MATCH($A8,[1]Client!$A$51:$A$80,0),1+MATCH($B8,[1]Client!$B$48:$AE$48,0),1,0,"Client"),0),"-"),"")</f>
        <v>1.5</v>
      </c>
      <c r="E8" s="589">
        <f ca="1">IF(INDIRECT(ADDRESS(E$27+MATCH($A8,[1]Client!$A$51:$A$80,0),1+MATCH($B8,[1]Client!$B$48:$AE$48,0),1,0,"Client"),0)&lt;&gt;"",IF(INDIRECT(ADDRESS(E$27+MATCH($A8,[1]Client!$A$51:$A$80,0),1+MATCH($B8,[1]Client!$B$48:$AE$48,0),1,0,"Client"),0)&lt;&gt;"-",INDIRECT(ADDRESS(E$27+MATCH($A8,[1]Client!$A$51:$A$80,0),1+MATCH($B8,[1]Client!$B$48:$AE$48,0),1,0,"Client"),0)-INDIRECT(ADDRESS(C$27+MATCH($A8,[1]Client!$A$51:$A$80,0),1+MATCH($B8,[1]Client!$B$48:$AE$48,0),1,0,"Client"),0),"-"),"")</f>
        <v>-0.5</v>
      </c>
      <c r="F8" s="574">
        <f ca="1">IF(INDIRECT(ADDRESS(C$27+MATCH($A8,[1]Client!$A$51:$A$80,0),1+MATCH($B8,[1]Client!$B$48:$AE$48,0),1,0,"Client"),0)&lt;&gt;"",INDIRECT(ADDRESS(F$27+MATCH($A8,[1]Client!$A$51:$A$80,0),1+MATCH($B8,[1]Client!$B$48:$AE$48,0),1,0,"Client"),0),"")</f>
        <v>6.0739999999999998</v>
      </c>
      <c r="G8" s="575">
        <f t="shared" ca="1" si="1"/>
        <v>0.08</v>
      </c>
    </row>
    <row r="9" spans="1:29" x14ac:dyDescent="0.2">
      <c r="A9" s="577" t="s">
        <v>38</v>
      </c>
      <c r="B9" s="578" t="str">
        <f t="shared" si="0"/>
        <v>L1</v>
      </c>
      <c r="C9" s="579">
        <f ca="1">IF(INDIRECT(ADDRESS(C$27+MATCH($A9,[1]Client!$A$51:$A$80,0),1+MATCH($B9,[1]Client!$B$48:$AE$48,0),1,0,"Client"),0)&lt;&gt;"",INDIRECT(ADDRESS(C$27+MATCH($A9,[1]Client!$A$51:$A$80,0),1+MATCH($B9,[1]Client!$B$48:$AE$48,0),1,0,"Client"),0),"")</f>
        <v>8.98</v>
      </c>
      <c r="D9" s="579">
        <f ca="1">IF(INDIRECT(ADDRESS(D$27+MATCH($A9,[1]Client!$A$51:$A$80,0),1+MATCH($B9,[1]Client!$B$48:$AE$48,0),1,0,"Client"),0)&lt;&gt;"",IF(INDIRECT(ADDRESS(D$27+MATCH($A9,[1]Client!$A$51:$A$80,0),1+MATCH($B9,[1]Client!$B$48:$AE$48,0),1,0,"Client"),0)&lt;&gt;"-",INDIRECT(ADDRESS(D$27+MATCH($A9,[1]Client!$A$51:$A$80,0),1+MATCH($B9,[1]Client!$B$48:$AE$48,0),1,0,"Client"),0)-INDIRECT(ADDRESS(C$27+MATCH($A9,[1]Client!$A$51:$A$80,0),1+MATCH($B9,[1]Client!$B$48:$AE$48,0),1,0,"Client"),0),"-"),"")</f>
        <v>1.5</v>
      </c>
      <c r="E9" s="579">
        <f ca="1">IF(INDIRECT(ADDRESS(E$27+MATCH($A9,[1]Client!$A$51:$A$80,0),1+MATCH($B9,[1]Client!$B$48:$AE$48,0),1,0,"Client"),0)&lt;&gt;"",IF(INDIRECT(ADDRESS(E$27+MATCH($A9,[1]Client!$A$51:$A$80,0),1+MATCH($B9,[1]Client!$B$48:$AE$48,0),1,0,"Client"),0)&lt;&gt;"-",INDIRECT(ADDRESS(E$27+MATCH($A9,[1]Client!$A$51:$A$80,0),1+MATCH($B9,[1]Client!$B$48:$AE$48,0),1,0,"Client"),0)-INDIRECT(ADDRESS(C$27+MATCH($A9,[1]Client!$A$51:$A$80,0),1+MATCH($B9,[1]Client!$B$48:$AE$48,0),1,0,"Client"),0),"-"),"")</f>
        <v>-0.5</v>
      </c>
      <c r="F9" s="580">
        <f ca="1">IF(INDIRECT(ADDRESS(C$27+MATCH($A9,[1]Client!$A$51:$A$80,0),1+MATCH($B9,[1]Client!$B$48:$AE$48,0),1,0,"Client"),0)&lt;&gt;"",INDIRECT(ADDRESS(F$27+MATCH($A9,[1]Client!$A$51:$A$80,0),1+MATCH($B9,[1]Client!$B$48:$AE$48,0),1,0,"Client"),0),"")</f>
        <v>9.0380000000000003</v>
      </c>
      <c r="G9" s="581">
        <f t="shared" ca="1" si="1"/>
        <v>0.06</v>
      </c>
    </row>
    <row r="10" spans="1:29" x14ac:dyDescent="0.2">
      <c r="A10" s="577" t="s">
        <v>40</v>
      </c>
      <c r="B10" s="578" t="str">
        <f t="shared" si="0"/>
        <v>L1</v>
      </c>
      <c r="C10" s="579">
        <f ca="1">IF(INDIRECT(ADDRESS(C$27+MATCH($A10,[1]Client!$A$51:$A$80,0),1+MATCH($B10,[1]Client!$B$48:$AE$48,0),1,0,"Client"),0)&lt;&gt;"",INDIRECT(ADDRESS(C$27+MATCH($A10,[1]Client!$A$51:$A$80,0),1+MATCH($B10,[1]Client!$B$48:$AE$48,0),1,0,"Client"),0),"")</f>
        <v>13.72</v>
      </c>
      <c r="D10" s="579">
        <f ca="1">IF(INDIRECT(ADDRESS(D$27+MATCH($A10,[1]Client!$A$51:$A$80,0),1+MATCH($B10,[1]Client!$B$48:$AE$48,0),1,0,"Client"),0)&lt;&gt;"",IF(INDIRECT(ADDRESS(D$27+MATCH($A10,[1]Client!$A$51:$A$80,0),1+MATCH($B10,[1]Client!$B$48:$AE$48,0),1,0,"Client"),0)&lt;&gt;"-",INDIRECT(ADDRESS(D$27+MATCH($A10,[1]Client!$A$51:$A$80,0),1+MATCH($B10,[1]Client!$B$48:$AE$48,0),1,0,"Client"),0)-INDIRECT(ADDRESS(C$27+MATCH($A10,[1]Client!$A$51:$A$80,0),1+MATCH($B10,[1]Client!$B$48:$AE$48,0),1,0,"Client"),0),"-"),"")</f>
        <v>1.5</v>
      </c>
      <c r="E10" s="579">
        <f ca="1">IF(INDIRECT(ADDRESS(E$27+MATCH($A10,[1]Client!$A$51:$A$80,0),1+MATCH($B10,[1]Client!$B$48:$AE$48,0),1,0,"Client"),0)&lt;&gt;"",IF(INDIRECT(ADDRESS(E$27+MATCH($A10,[1]Client!$A$51:$A$80,0),1+MATCH($B10,[1]Client!$B$48:$AE$48,0),1,0,"Client"),0)&lt;&gt;"-",INDIRECT(ADDRESS(E$27+MATCH($A10,[1]Client!$A$51:$A$80,0),1+MATCH($B10,[1]Client!$B$48:$AE$48,0),1,0,"Client"),0)-INDIRECT(ADDRESS(C$27+MATCH($A10,[1]Client!$A$51:$A$80,0),1+MATCH($B10,[1]Client!$B$48:$AE$48,0),1,0,"Client"),0),"-"),"")</f>
        <v>-1</v>
      </c>
      <c r="F10" s="580">
        <f ca="1">IF(INDIRECT(ADDRESS(C$27+MATCH($A10,[1]Client!$A$51:$A$80,0),1+MATCH($B10,[1]Client!$B$48:$AE$48,0),1,0,"Client"),0)&lt;&gt;"",INDIRECT(ADDRESS(F$27+MATCH($A10,[1]Client!$A$51:$A$80,0),1+MATCH($B10,[1]Client!$B$48:$AE$48,0),1,0,"Client"),0),"")</f>
        <v>13.775</v>
      </c>
      <c r="G10" s="581">
        <f t="shared" ca="1" si="1"/>
        <v>0.05</v>
      </c>
    </row>
    <row r="11" spans="1:29" x14ac:dyDescent="0.2">
      <c r="A11" s="577" t="s">
        <v>41</v>
      </c>
      <c r="B11" s="578" t="str">
        <f t="shared" si="0"/>
        <v>L1</v>
      </c>
      <c r="C11" s="579">
        <f ca="1">IF(INDIRECT(ADDRESS(C$27+MATCH($A11,[1]Client!$A$51:$A$80,0),1+MATCH($B11,[1]Client!$B$48:$AE$48,0),1,0,"Client"),0)&lt;&gt;"",INDIRECT(ADDRESS(C$27+MATCH($A11,[1]Client!$A$51:$A$80,0),1+MATCH($B11,[1]Client!$B$48:$AE$48,0),1,0,"Client"),0),"")</f>
        <v>15.81</v>
      </c>
      <c r="D11" s="579">
        <f ca="1">IF(INDIRECT(ADDRESS(D$27+MATCH($A11,[1]Client!$A$51:$A$80,0),1+MATCH($B11,[1]Client!$B$48:$AE$48,0),1,0,"Client"),0)&lt;&gt;"",IF(INDIRECT(ADDRESS(D$27+MATCH($A11,[1]Client!$A$51:$A$80,0),1+MATCH($B11,[1]Client!$B$48:$AE$48,0),1,0,"Client"),0)&lt;&gt;"-",INDIRECT(ADDRESS(D$27+MATCH($A11,[1]Client!$A$51:$A$80,0),1+MATCH($B11,[1]Client!$B$48:$AE$48,0),1,0,"Client"),0)-INDIRECT(ADDRESS(C$27+MATCH($A11,[1]Client!$A$51:$A$80,0),1+MATCH($B11,[1]Client!$B$48:$AE$48,0),1,0,"Client"),0),"-"),"")</f>
        <v>1.5000000000000018</v>
      </c>
      <c r="E11" s="579">
        <f ca="1">IF(INDIRECT(ADDRESS(E$27+MATCH($A11,[1]Client!$A$51:$A$80,0),1+MATCH($B11,[1]Client!$B$48:$AE$48,0),1,0,"Client"),0)&lt;&gt;"",IF(INDIRECT(ADDRESS(E$27+MATCH($A11,[1]Client!$A$51:$A$80,0),1+MATCH($B11,[1]Client!$B$48:$AE$48,0),1,0,"Client"),0)&lt;&gt;"-",INDIRECT(ADDRESS(E$27+MATCH($A11,[1]Client!$A$51:$A$80,0),1+MATCH($B11,[1]Client!$B$48:$AE$48,0),1,0,"Client"),0)-INDIRECT(ADDRESS(C$27+MATCH($A11,[1]Client!$A$51:$A$80,0),1+MATCH($B11,[1]Client!$B$48:$AE$48,0),1,0,"Client"),0),"-"),"")</f>
        <v>-1</v>
      </c>
      <c r="F11" s="580">
        <f ca="1">IF(INDIRECT(ADDRESS(C$27+MATCH($A11,[1]Client!$A$51:$A$80,0),1+MATCH($B11,[1]Client!$B$48:$AE$48,0),1,0,"Client"),0)&lt;&gt;"",INDIRECT(ADDRESS(F$27+MATCH($A11,[1]Client!$A$51:$A$80,0),1+MATCH($B11,[1]Client!$B$48:$AE$48,0),1,0,"Client"),0),"")</f>
        <v>15.8</v>
      </c>
      <c r="G11" s="581">
        <f t="shared" ca="1" si="1"/>
        <v>-0.01</v>
      </c>
    </row>
    <row r="12" spans="1:29" x14ac:dyDescent="0.2">
      <c r="A12" s="577" t="s">
        <v>42</v>
      </c>
      <c r="B12" s="578" t="str">
        <f t="shared" si="0"/>
        <v>L1</v>
      </c>
      <c r="C12" s="579">
        <f ca="1">IF(INDIRECT(ADDRESS(C$27+MATCH($A12,[1]Client!$A$51:$A$80,0),1+MATCH($B12,[1]Client!$B$48:$AE$48,0),1,0,"Client"),0)&lt;&gt;"",INDIRECT(ADDRESS(C$27+MATCH($A12,[1]Client!$A$51:$A$80,0),1+MATCH($B12,[1]Client!$B$48:$AE$48,0),1,0,"Client"),0),"")</f>
        <v>17.53</v>
      </c>
      <c r="D12" s="579">
        <f ca="1">IF(INDIRECT(ADDRESS(D$27+MATCH($A12,[1]Client!$A$51:$A$80,0),1+MATCH($B12,[1]Client!$B$48:$AE$48,0),1,0,"Client"),0)&lt;&gt;"",IF(INDIRECT(ADDRESS(D$27+MATCH($A12,[1]Client!$A$51:$A$80,0),1+MATCH($B12,[1]Client!$B$48:$AE$48,0),1,0,"Client"),0)&lt;&gt;"-",INDIRECT(ADDRESS(D$27+MATCH($A12,[1]Client!$A$51:$A$80,0),1+MATCH($B12,[1]Client!$B$48:$AE$48,0),1,0,"Client"),0)-INDIRECT(ADDRESS(C$27+MATCH($A12,[1]Client!$A$51:$A$80,0),1+MATCH($B12,[1]Client!$B$48:$AE$48,0),1,0,"Client"),0),"-"),"")</f>
        <v>1.5</v>
      </c>
      <c r="E12" s="579">
        <f ca="1">IF(INDIRECT(ADDRESS(E$27+MATCH($A12,[1]Client!$A$51:$A$80,0),1+MATCH($B12,[1]Client!$B$48:$AE$48,0),1,0,"Client"),0)&lt;&gt;"",IF(INDIRECT(ADDRESS(E$27+MATCH($A12,[1]Client!$A$51:$A$80,0),1+MATCH($B12,[1]Client!$B$48:$AE$48,0),1,0,"Client"),0)&lt;&gt;"-",INDIRECT(ADDRESS(E$27+MATCH($A12,[1]Client!$A$51:$A$80,0),1+MATCH($B12,[1]Client!$B$48:$AE$48,0),1,0,"Client"),0)-INDIRECT(ADDRESS(C$27+MATCH($A12,[1]Client!$A$51:$A$80,0),1+MATCH($B12,[1]Client!$B$48:$AE$48,0),1,0,"Client"),0),"-"),"")</f>
        <v>-1</v>
      </c>
      <c r="F12" s="580">
        <f ca="1">IF(INDIRECT(ADDRESS(C$27+MATCH($A12,[1]Client!$A$51:$A$80,0),1+MATCH($B12,[1]Client!$B$48:$AE$48,0),1,0,"Client"),0)&lt;&gt;"",INDIRECT(ADDRESS(F$27+MATCH($A12,[1]Client!$A$51:$A$80,0),1+MATCH($B12,[1]Client!$B$48:$AE$48,0),1,0,"Client"),0),"")</f>
        <v>17.469000000000001</v>
      </c>
      <c r="G12" s="581">
        <f t="shared" ca="1" si="1"/>
        <v>-0.06</v>
      </c>
    </row>
    <row r="13" spans="1:29" x14ac:dyDescent="0.2">
      <c r="A13" s="577" t="s">
        <v>43</v>
      </c>
      <c r="B13" s="578" t="str">
        <f t="shared" si="0"/>
        <v>L1</v>
      </c>
      <c r="C13" s="579">
        <f ca="1">IF(INDIRECT(ADDRESS(C$27+MATCH($A13,[1]Client!$A$51:$A$80,0),1+MATCH($B13,[1]Client!$B$48:$AE$48,0),1,0,"Client"),0)&lt;&gt;"",INDIRECT(ADDRESS(C$27+MATCH($A13,[1]Client!$A$51:$A$80,0),1+MATCH($B13,[1]Client!$B$48:$AE$48,0),1,0,"Client"),0),"")</f>
        <v>18.579999999999998</v>
      </c>
      <c r="D13" s="579">
        <f ca="1">IF(INDIRECT(ADDRESS(D$27+MATCH($A13,[1]Client!$A$51:$A$80,0),1+MATCH($B13,[1]Client!$B$48:$AE$48,0),1,0,"Client"),0)&lt;&gt;"",IF(INDIRECT(ADDRESS(D$27+MATCH($A13,[1]Client!$A$51:$A$80,0),1+MATCH($B13,[1]Client!$B$48:$AE$48,0),1,0,"Client"),0)&lt;&gt;"-",INDIRECT(ADDRESS(D$27+MATCH($A13,[1]Client!$A$51:$A$80,0),1+MATCH($B13,[1]Client!$B$48:$AE$48,0),1,0,"Client"),0)-INDIRECT(ADDRESS(C$27+MATCH($A13,[1]Client!$A$51:$A$80,0),1+MATCH($B13,[1]Client!$B$48:$AE$48,0),1,0,"Client"),0),"-"),"")</f>
        <v>1.5</v>
      </c>
      <c r="E13" s="579">
        <f ca="1">IF(INDIRECT(ADDRESS(E$27+MATCH($A13,[1]Client!$A$51:$A$80,0),1+MATCH($B13,[1]Client!$B$48:$AE$48,0),1,0,"Client"),0)&lt;&gt;"",IF(INDIRECT(ADDRESS(E$27+MATCH($A13,[1]Client!$A$51:$A$80,0),1+MATCH($B13,[1]Client!$B$48:$AE$48,0),1,0,"Client"),0)&lt;&gt;"-",INDIRECT(ADDRESS(E$27+MATCH($A13,[1]Client!$A$51:$A$80,0),1+MATCH($B13,[1]Client!$B$48:$AE$48,0),1,0,"Client"),0)-INDIRECT(ADDRESS(C$27+MATCH($A13,[1]Client!$A$51:$A$80,0),1+MATCH($B13,[1]Client!$B$48:$AE$48,0),1,0,"Client"),0),"-"),"")</f>
        <v>-1</v>
      </c>
      <c r="F13" s="580">
        <f ca="1">IF(INDIRECT(ADDRESS(C$27+MATCH($A13,[1]Client!$A$51:$A$80,0),1+MATCH($B13,[1]Client!$B$48:$AE$48,0),1,0,"Client"),0)&lt;&gt;"",INDIRECT(ADDRESS(F$27+MATCH($A13,[1]Client!$A$51:$A$80,0),1+MATCH($B13,[1]Client!$B$48:$AE$48,0),1,0,"Client"),0),"")</f>
        <v>18.640999999999998</v>
      </c>
      <c r="G13" s="581">
        <f t="shared" ca="1" si="1"/>
        <v>0.06</v>
      </c>
    </row>
    <row r="14" spans="1:29" x14ac:dyDescent="0.2">
      <c r="A14" s="577" t="s">
        <v>44</v>
      </c>
      <c r="B14" s="578" t="str">
        <f t="shared" si="0"/>
        <v>L1</v>
      </c>
      <c r="C14" s="579">
        <f ca="1">IF(INDIRECT(ADDRESS(C$27+MATCH($A14,[1]Client!$A$51:$A$80,0),1+MATCH($B14,[1]Client!$B$48:$AE$48,0),1,0,"Client"),0)&lt;&gt;"",INDIRECT(ADDRESS(C$27+MATCH($A14,[1]Client!$A$51:$A$80,0),1+MATCH($B14,[1]Client!$B$48:$AE$48,0),1,0,"Client"),0),"")</f>
        <v>19.420000000000002</v>
      </c>
      <c r="D14" s="579">
        <f ca="1">IF(INDIRECT(ADDRESS(D$27+MATCH($A14,[1]Client!$A$51:$A$80,0),1+MATCH($B14,[1]Client!$B$48:$AE$48,0),1,0,"Client"),0)&lt;&gt;"",IF(INDIRECT(ADDRESS(D$27+MATCH($A14,[1]Client!$A$51:$A$80,0),1+MATCH($B14,[1]Client!$B$48:$AE$48,0),1,0,"Client"),0)&lt;&gt;"-",INDIRECT(ADDRESS(D$27+MATCH($A14,[1]Client!$A$51:$A$80,0),1+MATCH($B14,[1]Client!$B$48:$AE$48,0),1,0,"Client"),0)-INDIRECT(ADDRESS(C$27+MATCH($A14,[1]Client!$A$51:$A$80,0),1+MATCH($B14,[1]Client!$B$48:$AE$48,0),1,0,"Client"),0),"-"),"")</f>
        <v>1.5</v>
      </c>
      <c r="E14" s="579">
        <f ca="1">IF(INDIRECT(ADDRESS(E$27+MATCH($A14,[1]Client!$A$51:$A$80,0),1+MATCH($B14,[1]Client!$B$48:$AE$48,0),1,0,"Client"),0)&lt;&gt;"",IF(INDIRECT(ADDRESS(E$27+MATCH($A14,[1]Client!$A$51:$A$80,0),1+MATCH($B14,[1]Client!$B$48:$AE$48,0),1,0,"Client"),0)&lt;&gt;"-",INDIRECT(ADDRESS(E$27+MATCH($A14,[1]Client!$A$51:$A$80,0),1+MATCH($B14,[1]Client!$B$48:$AE$48,0),1,0,"Client"),0)-INDIRECT(ADDRESS(C$27+MATCH($A14,[1]Client!$A$51:$A$80,0),1+MATCH($B14,[1]Client!$B$48:$AE$48,0),1,0,"Client"),0),"-"),"")</f>
        <v>-1</v>
      </c>
      <c r="F14" s="580">
        <f ca="1">IF(INDIRECT(ADDRESS(C$27+MATCH($A14,[1]Client!$A$51:$A$80,0),1+MATCH($B14,[1]Client!$B$48:$AE$48,0),1,0,"Client"),0)&lt;&gt;"",INDIRECT(ADDRESS(F$27+MATCH($A14,[1]Client!$A$51:$A$80,0),1+MATCH($B14,[1]Client!$B$48:$AE$48,0),1,0,"Client"),0),"")</f>
        <v>19.638999999999999</v>
      </c>
      <c r="G14" s="581">
        <f t="shared" ca="1" si="1"/>
        <v>0.22</v>
      </c>
    </row>
    <row r="15" spans="1:29" x14ac:dyDescent="0.2">
      <c r="A15" s="577" t="s">
        <v>45</v>
      </c>
      <c r="B15" s="578" t="str">
        <f t="shared" si="0"/>
        <v>L1</v>
      </c>
      <c r="C15" s="579">
        <f ca="1">IF(INDIRECT(ADDRESS(C$27+MATCH($A15,[1]Client!$A$51:$A$80,0),1+MATCH($B15,[1]Client!$B$48:$AE$48,0),1,0,"Client"),0)&lt;&gt;"",INDIRECT(ADDRESS(C$27+MATCH($A15,[1]Client!$A$51:$A$80,0),1+MATCH($B15,[1]Client!$B$48:$AE$48,0),1,0,"Client"),0),"")</f>
        <v>20.41</v>
      </c>
      <c r="D15" s="579">
        <f ca="1">IF(INDIRECT(ADDRESS(D$27+MATCH($A15,[1]Client!$A$51:$A$80,0),1+MATCH($B15,[1]Client!$B$48:$AE$48,0),1,0,"Client"),0)&lt;&gt;"",IF(INDIRECT(ADDRESS(D$27+MATCH($A15,[1]Client!$A$51:$A$80,0),1+MATCH($B15,[1]Client!$B$48:$AE$48,0),1,0,"Client"),0)&lt;&gt;"-",INDIRECT(ADDRESS(D$27+MATCH($A15,[1]Client!$A$51:$A$80,0),1+MATCH($B15,[1]Client!$B$48:$AE$48,0),1,0,"Client"),0)-INDIRECT(ADDRESS(C$27+MATCH($A15,[1]Client!$A$51:$A$80,0),1+MATCH($B15,[1]Client!$B$48:$AE$48,0),1,0,"Client"),0),"-"),"")</f>
        <v>1.5</v>
      </c>
      <c r="E15" s="579">
        <f ca="1">IF(INDIRECT(ADDRESS(E$27+MATCH($A15,[1]Client!$A$51:$A$80,0),1+MATCH($B15,[1]Client!$B$48:$AE$48,0),1,0,"Client"),0)&lt;&gt;"",IF(INDIRECT(ADDRESS(E$27+MATCH($A15,[1]Client!$A$51:$A$80,0),1+MATCH($B15,[1]Client!$B$48:$AE$48,0),1,0,"Client"),0)&lt;&gt;"-",INDIRECT(ADDRESS(E$27+MATCH($A15,[1]Client!$A$51:$A$80,0),1+MATCH($B15,[1]Client!$B$48:$AE$48,0),1,0,"Client"),0)-INDIRECT(ADDRESS(C$27+MATCH($A15,[1]Client!$A$51:$A$80,0),1+MATCH($B15,[1]Client!$B$48:$AE$48,0),1,0,"Client"),0),"-"),"")</f>
        <v>-1</v>
      </c>
      <c r="F15" s="580">
        <f ca="1">IF(INDIRECT(ADDRESS(C$27+MATCH($A15,[1]Client!$A$51:$A$80,0),1+MATCH($B15,[1]Client!$B$48:$AE$48,0),1,0,"Client"),0)&lt;&gt;"",INDIRECT(ADDRESS(F$27+MATCH($A15,[1]Client!$A$51:$A$80,0),1+MATCH($B15,[1]Client!$B$48:$AE$48,0),1,0,"Client"),0),"")</f>
        <v>20.789000000000001</v>
      </c>
      <c r="G15" s="581">
        <f t="shared" ca="1" si="1"/>
        <v>0.38</v>
      </c>
    </row>
    <row r="16" spans="1:29" x14ac:dyDescent="0.2">
      <c r="A16" s="577" t="s">
        <v>46</v>
      </c>
      <c r="B16" s="578" t="str">
        <f t="shared" si="0"/>
        <v>L1</v>
      </c>
      <c r="C16" s="579">
        <f ca="1">IF(INDIRECT(ADDRESS(C$27+MATCH($A16,[1]Client!$A$51:$A$80,0),1+MATCH($B16,[1]Client!$B$48:$AE$48,0),1,0,"Client"),0)&lt;&gt;"",INDIRECT(ADDRESS(C$27+MATCH($A16,[1]Client!$A$51:$A$80,0),1+MATCH($B16,[1]Client!$B$48:$AE$48,0),1,0,"Client"),0),"")</f>
        <v>21.07</v>
      </c>
      <c r="D16" s="579">
        <f ca="1">IF(INDIRECT(ADDRESS(D$27+MATCH($A16,[1]Client!$A$51:$A$80,0),1+MATCH($B16,[1]Client!$B$48:$AE$48,0),1,0,"Client"),0)&lt;&gt;"",IF(INDIRECT(ADDRESS(D$27+MATCH($A16,[1]Client!$A$51:$A$80,0),1+MATCH($B16,[1]Client!$B$48:$AE$48,0),1,0,"Client"),0)&lt;&gt;"-",INDIRECT(ADDRESS(D$27+MATCH($A16,[1]Client!$A$51:$A$80,0),1+MATCH($B16,[1]Client!$B$48:$AE$48,0),1,0,"Client"),0)-INDIRECT(ADDRESS(C$27+MATCH($A16,[1]Client!$A$51:$A$80,0),1+MATCH($B16,[1]Client!$B$48:$AE$48,0),1,0,"Client"),0),"-"),"")</f>
        <v>1.5</v>
      </c>
      <c r="E16" s="579">
        <f ca="1">IF(INDIRECT(ADDRESS(E$27+MATCH($A16,[1]Client!$A$51:$A$80,0),1+MATCH($B16,[1]Client!$B$48:$AE$48,0),1,0,"Client"),0)&lt;&gt;"",IF(INDIRECT(ADDRESS(E$27+MATCH($A16,[1]Client!$A$51:$A$80,0),1+MATCH($B16,[1]Client!$B$48:$AE$48,0),1,0,"Client"),0)&lt;&gt;"-",INDIRECT(ADDRESS(E$27+MATCH($A16,[1]Client!$A$51:$A$80,0),1+MATCH($B16,[1]Client!$B$48:$AE$48,0),1,0,"Client"),0)-INDIRECT(ADDRESS(C$27+MATCH($A16,[1]Client!$A$51:$A$80,0),1+MATCH($B16,[1]Client!$B$48:$AE$48,0),1,0,"Client"),0),"-"),"")</f>
        <v>-1</v>
      </c>
      <c r="F16" s="580">
        <f ca="1">IF(INDIRECT(ADDRESS(C$27+MATCH($A16,[1]Client!$A$51:$A$80,0),1+MATCH($B16,[1]Client!$B$48:$AE$48,0),1,0,"Client"),0)&lt;&gt;"",INDIRECT(ADDRESS(F$27+MATCH($A16,[1]Client!$A$51:$A$80,0),1+MATCH($B16,[1]Client!$B$48:$AE$48,0),1,0,"Client"),0),"")</f>
        <v>21.49</v>
      </c>
      <c r="G16" s="581">
        <f t="shared" ca="1" si="1"/>
        <v>0.42</v>
      </c>
    </row>
    <row r="17" spans="1:7" x14ac:dyDescent="0.2">
      <c r="A17" s="577" t="s">
        <v>47</v>
      </c>
      <c r="B17" s="578" t="str">
        <f t="shared" si="0"/>
        <v>L1</v>
      </c>
      <c r="C17" s="579">
        <f ca="1">IF(INDIRECT(ADDRESS(C$27+MATCH($A17,[1]Client!$A$51:$A$80,0),1+MATCH($B17,[1]Client!$B$48:$AE$48,0),1,0,"Client"),0)&lt;&gt;"",INDIRECT(ADDRESS(C$27+MATCH($A17,[1]Client!$A$51:$A$80,0),1+MATCH($B17,[1]Client!$B$48:$AE$48,0),1,0,"Client"),0),"")</f>
        <v>21.7</v>
      </c>
      <c r="D17" s="579">
        <f ca="1">IF(INDIRECT(ADDRESS(D$27+MATCH($A17,[1]Client!$A$51:$A$80,0),1+MATCH($B17,[1]Client!$B$48:$AE$48,0),1,0,"Client"),0)&lt;&gt;"",IF(INDIRECT(ADDRESS(D$27+MATCH($A17,[1]Client!$A$51:$A$80,0),1+MATCH($B17,[1]Client!$B$48:$AE$48,0),1,0,"Client"),0)&lt;&gt;"-",INDIRECT(ADDRESS(D$27+MATCH($A17,[1]Client!$A$51:$A$80,0),1+MATCH($B17,[1]Client!$B$48:$AE$48,0),1,0,"Client"),0)-INDIRECT(ADDRESS(C$27+MATCH($A17,[1]Client!$A$51:$A$80,0),1+MATCH($B17,[1]Client!$B$48:$AE$48,0),1,0,"Client"),0),"-"),"")</f>
        <v>1.5</v>
      </c>
      <c r="E17" s="579">
        <f ca="1">IF(INDIRECT(ADDRESS(E$27+MATCH($A17,[1]Client!$A$51:$A$80,0),1+MATCH($B17,[1]Client!$B$48:$AE$48,0),1,0,"Client"),0)&lt;&gt;"",IF(INDIRECT(ADDRESS(E$27+MATCH($A17,[1]Client!$A$51:$A$80,0),1+MATCH($B17,[1]Client!$B$48:$AE$48,0),1,0,"Client"),0)&lt;&gt;"-",INDIRECT(ADDRESS(E$27+MATCH($A17,[1]Client!$A$51:$A$80,0),1+MATCH($B17,[1]Client!$B$48:$AE$48,0),1,0,"Client"),0)-INDIRECT(ADDRESS(C$27+MATCH($A17,[1]Client!$A$51:$A$80,0),1+MATCH($B17,[1]Client!$B$48:$AE$48,0),1,0,"Client"),0),"-"),"")</f>
        <v>-1</v>
      </c>
      <c r="F17" s="580">
        <f ca="1">IF(INDIRECT(ADDRESS(C$27+MATCH($A17,[1]Client!$A$51:$A$80,0),1+MATCH($B17,[1]Client!$B$48:$AE$48,0),1,0,"Client"),0)&lt;&gt;"",INDIRECT(ADDRESS(F$27+MATCH($A17,[1]Client!$A$51:$A$80,0),1+MATCH($B17,[1]Client!$B$48:$AE$48,0),1,0,"Client"),0),"")</f>
        <v>22.280999999999999</v>
      </c>
      <c r="G17" s="581">
        <f t="shared" ca="1" si="1"/>
        <v>0.57999999999999996</v>
      </c>
    </row>
    <row r="18" spans="1:7" x14ac:dyDescent="0.2">
      <c r="A18" s="577" t="s">
        <v>48</v>
      </c>
      <c r="B18" s="578" t="str">
        <f t="shared" si="0"/>
        <v>L1</v>
      </c>
      <c r="C18" s="579">
        <f ca="1">IF(INDIRECT(ADDRESS(C$27+MATCH($A18,[1]Client!$A$51:$A$80,0),1+MATCH($B18,[1]Client!$B$48:$AE$48,0),1,0,"Client"),0)&lt;&gt;"",INDIRECT(ADDRESS(C$27+MATCH($A18,[1]Client!$A$51:$A$80,0),1+MATCH($B18,[1]Client!$B$48:$AE$48,0),1,0,"Client"),0),"")</f>
        <v>22.3</v>
      </c>
      <c r="D18" s="579">
        <f ca="1">IF(INDIRECT(ADDRESS(D$27+MATCH($A18,[1]Client!$A$51:$A$80,0),1+MATCH($B18,[1]Client!$B$48:$AE$48,0),1,0,"Client"),0)&lt;&gt;"",IF(INDIRECT(ADDRESS(D$27+MATCH($A18,[1]Client!$A$51:$A$80,0),1+MATCH($B18,[1]Client!$B$48:$AE$48,0),1,0,"Client"),0)&lt;&gt;"-",INDIRECT(ADDRESS(D$27+MATCH($A18,[1]Client!$A$51:$A$80,0),1+MATCH($B18,[1]Client!$B$48:$AE$48,0),1,0,"Client"),0)-INDIRECT(ADDRESS(C$27+MATCH($A18,[1]Client!$A$51:$A$80,0),1+MATCH($B18,[1]Client!$B$48:$AE$48,0),1,0,"Client"),0),"-"),"")</f>
        <v>1.5</v>
      </c>
      <c r="E18" s="579">
        <f ca="1">IF(INDIRECT(ADDRESS(E$27+MATCH($A18,[1]Client!$A$51:$A$80,0),1+MATCH($B18,[1]Client!$B$48:$AE$48,0),1,0,"Client"),0)&lt;&gt;"",IF(INDIRECT(ADDRESS(E$27+MATCH($A18,[1]Client!$A$51:$A$80,0),1+MATCH($B18,[1]Client!$B$48:$AE$48,0),1,0,"Client"),0)&lt;&gt;"-",INDIRECT(ADDRESS(E$27+MATCH($A18,[1]Client!$A$51:$A$80,0),1+MATCH($B18,[1]Client!$B$48:$AE$48,0),1,0,"Client"),0)-INDIRECT(ADDRESS(C$27+MATCH($A18,[1]Client!$A$51:$A$80,0),1+MATCH($B18,[1]Client!$B$48:$AE$48,0),1,0,"Client"),0),"-"),"")</f>
        <v>-1</v>
      </c>
      <c r="F18" s="580">
        <f ca="1">IF(INDIRECT(ADDRESS(C$27+MATCH($A18,[1]Client!$A$51:$A$80,0),1+MATCH($B18,[1]Client!$B$48:$AE$48,0),1,0,"Client"),0)&lt;&gt;"",INDIRECT(ADDRESS(F$27+MATCH($A18,[1]Client!$A$51:$A$80,0),1+MATCH($B18,[1]Client!$B$48:$AE$48,0),1,0,"Client"),0),"")</f>
        <v>22.948</v>
      </c>
      <c r="G18" s="581">
        <f t="shared" ca="1" si="1"/>
        <v>0.65</v>
      </c>
    </row>
    <row r="19" spans="1:7" x14ac:dyDescent="0.2">
      <c r="A19" s="577" t="s">
        <v>49</v>
      </c>
      <c r="B19" s="578" t="str">
        <f t="shared" si="0"/>
        <v>L1</v>
      </c>
      <c r="C19" s="579">
        <f ca="1">IF(INDIRECT(ADDRESS(C$27+MATCH($A19,[1]Client!$A$51:$A$80,0),1+MATCH($B19,[1]Client!$B$48:$AE$48,0),1,0,"Client"),0)&lt;&gt;"",INDIRECT(ADDRESS(C$27+MATCH($A19,[1]Client!$A$51:$A$80,0),1+MATCH($B19,[1]Client!$B$48:$AE$48,0),1,0,"Client"),0),"")</f>
        <v>23.01</v>
      </c>
      <c r="D19" s="579">
        <f ca="1">IF(INDIRECT(ADDRESS(D$27+MATCH($A19,[1]Client!$A$51:$A$80,0),1+MATCH($B19,[1]Client!$B$48:$AE$48,0),1,0,"Client"),0)&lt;&gt;"",IF(INDIRECT(ADDRESS(D$27+MATCH($A19,[1]Client!$A$51:$A$80,0),1+MATCH($B19,[1]Client!$B$48:$AE$48,0),1,0,"Client"),0)&lt;&gt;"-",INDIRECT(ADDRESS(D$27+MATCH($A19,[1]Client!$A$51:$A$80,0),1+MATCH($B19,[1]Client!$B$48:$AE$48,0),1,0,"Client"),0)-INDIRECT(ADDRESS(C$27+MATCH($A19,[1]Client!$A$51:$A$80,0),1+MATCH($B19,[1]Client!$B$48:$AE$48,0),1,0,"Client"),0),"-"),"")</f>
        <v>1.5</v>
      </c>
      <c r="E19" s="579">
        <f ca="1">IF(INDIRECT(ADDRESS(E$27+MATCH($A19,[1]Client!$A$51:$A$80,0),1+MATCH($B19,[1]Client!$B$48:$AE$48,0),1,0,"Client"),0)&lt;&gt;"",IF(INDIRECT(ADDRESS(E$27+MATCH($A19,[1]Client!$A$51:$A$80,0),1+MATCH($B19,[1]Client!$B$48:$AE$48,0),1,0,"Client"),0)&lt;&gt;"-",INDIRECT(ADDRESS(E$27+MATCH($A19,[1]Client!$A$51:$A$80,0),1+MATCH($B19,[1]Client!$B$48:$AE$48,0),1,0,"Client"),0)-INDIRECT(ADDRESS(C$27+MATCH($A19,[1]Client!$A$51:$A$80,0),1+MATCH($B19,[1]Client!$B$48:$AE$48,0),1,0,"Client"),0),"-"),"")</f>
        <v>-1</v>
      </c>
      <c r="F19" s="580">
        <f ca="1">IF(INDIRECT(ADDRESS(C$27+MATCH($A19,[1]Client!$A$51:$A$80,0),1+MATCH($B19,[1]Client!$B$48:$AE$48,0),1,0,"Client"),0)&lt;&gt;"",INDIRECT(ADDRESS(F$27+MATCH($A19,[1]Client!$A$51:$A$80,0),1+MATCH($B19,[1]Client!$B$48:$AE$48,0),1,0,"Client"),0),"")</f>
        <v>23.683</v>
      </c>
      <c r="G19" s="581">
        <f t="shared" ca="1" si="1"/>
        <v>0.67</v>
      </c>
    </row>
    <row r="20" spans="1:7" x14ac:dyDescent="0.2">
      <c r="A20" s="577" t="s">
        <v>50</v>
      </c>
      <c r="B20" s="578" t="str">
        <f t="shared" si="0"/>
        <v>L1</v>
      </c>
      <c r="C20" s="579">
        <f ca="1">IF(INDIRECT(ADDRESS(C$27+MATCH($A20,[1]Client!$A$51:$A$80,0),1+MATCH($B20,[1]Client!$B$48:$AE$48,0),1,0,"Client"),0)&lt;&gt;"",INDIRECT(ADDRESS(C$27+MATCH($A20,[1]Client!$A$51:$A$80,0),1+MATCH($B20,[1]Client!$B$48:$AE$48,0),1,0,"Client"),0),"")</f>
        <v>23.93</v>
      </c>
      <c r="D20" s="579">
        <f ca="1">IF(INDIRECT(ADDRESS(D$27+MATCH($A20,[1]Client!$A$51:$A$80,0),1+MATCH($B20,[1]Client!$B$48:$AE$48,0),1,0,"Client"),0)&lt;&gt;"",IF(INDIRECT(ADDRESS(D$27+MATCH($A20,[1]Client!$A$51:$A$80,0),1+MATCH($B20,[1]Client!$B$48:$AE$48,0),1,0,"Client"),0)&lt;&gt;"-",INDIRECT(ADDRESS(D$27+MATCH($A20,[1]Client!$A$51:$A$80,0),1+MATCH($B20,[1]Client!$B$48:$AE$48,0),1,0,"Client"),0)-INDIRECT(ADDRESS(C$27+MATCH($A20,[1]Client!$A$51:$A$80,0),1+MATCH($B20,[1]Client!$B$48:$AE$48,0),1,0,"Client"),0),"-"),"")</f>
        <v>1.5</v>
      </c>
      <c r="E20" s="579">
        <f ca="1">IF(INDIRECT(ADDRESS(E$27+MATCH($A20,[1]Client!$A$51:$A$80,0),1+MATCH($B20,[1]Client!$B$48:$AE$48,0),1,0,"Client"),0)&lt;&gt;"",IF(INDIRECT(ADDRESS(E$27+MATCH($A20,[1]Client!$A$51:$A$80,0),1+MATCH($B20,[1]Client!$B$48:$AE$48,0),1,0,"Client"),0)&lt;&gt;"-",INDIRECT(ADDRESS(E$27+MATCH($A20,[1]Client!$A$51:$A$80,0),1+MATCH($B20,[1]Client!$B$48:$AE$48,0),1,0,"Client"),0)-INDIRECT(ADDRESS(C$27+MATCH($A20,[1]Client!$A$51:$A$80,0),1+MATCH($B20,[1]Client!$B$48:$AE$48,0),1,0,"Client"),0),"-"),"")</f>
        <v>-1</v>
      </c>
      <c r="F20" s="580">
        <f ca="1">IF(INDIRECT(ADDRESS(C$27+MATCH($A20,[1]Client!$A$51:$A$80,0),1+MATCH($B20,[1]Client!$B$48:$AE$48,0),1,0,"Client"),0)&lt;&gt;"",INDIRECT(ADDRESS(F$27+MATCH($A20,[1]Client!$A$51:$A$80,0),1+MATCH($B20,[1]Client!$B$48:$AE$48,0),1,0,"Client"),0),"")</f>
        <v>24.79</v>
      </c>
      <c r="G20" s="581">
        <f t="shared" ca="1" si="1"/>
        <v>0.86</v>
      </c>
    </row>
    <row r="21" spans="1:7" x14ac:dyDescent="0.2">
      <c r="A21" s="577" t="s">
        <v>51</v>
      </c>
      <c r="B21" s="578" t="str">
        <f t="shared" si="0"/>
        <v>L1</v>
      </c>
      <c r="C21" s="579">
        <f ca="1">IF(INDIRECT(ADDRESS(C$27+MATCH($A21,[1]Client!$A$51:$A$80,0),1+MATCH($B21,[1]Client!$B$48:$AE$48,0),1,0,"Client"),0)&lt;&gt;"",INDIRECT(ADDRESS(C$27+MATCH($A21,[1]Client!$A$51:$A$80,0),1+MATCH($B21,[1]Client!$B$48:$AE$48,0),1,0,"Client"),0),"")</f>
        <v>24.95</v>
      </c>
      <c r="D21" s="579">
        <f ca="1">IF(INDIRECT(ADDRESS(D$27+MATCH($A21,[1]Client!$A$51:$A$80,0),1+MATCH($B21,[1]Client!$B$48:$AE$48,0),1,0,"Client"),0)&lt;&gt;"",IF(INDIRECT(ADDRESS(D$27+MATCH($A21,[1]Client!$A$51:$A$80,0),1+MATCH($B21,[1]Client!$B$48:$AE$48,0),1,0,"Client"),0)&lt;&gt;"-",INDIRECT(ADDRESS(D$27+MATCH($A21,[1]Client!$A$51:$A$80,0),1+MATCH($B21,[1]Client!$B$48:$AE$48,0),1,0,"Client"),0)-INDIRECT(ADDRESS(C$27+MATCH($A21,[1]Client!$A$51:$A$80,0),1+MATCH($B21,[1]Client!$B$48:$AE$48,0),1,0,"Client"),0),"-"),"")</f>
        <v>1.5</v>
      </c>
      <c r="E21" s="579">
        <f ca="1">IF(INDIRECT(ADDRESS(E$27+MATCH($A21,[1]Client!$A$51:$A$80,0),1+MATCH($B21,[1]Client!$B$48:$AE$48,0),1,0,"Client"),0)&lt;&gt;"",IF(INDIRECT(ADDRESS(E$27+MATCH($A21,[1]Client!$A$51:$A$80,0),1+MATCH($B21,[1]Client!$B$48:$AE$48,0),1,0,"Client"),0)&lt;&gt;"-",INDIRECT(ADDRESS(E$27+MATCH($A21,[1]Client!$A$51:$A$80,0),1+MATCH($B21,[1]Client!$B$48:$AE$48,0),1,0,"Client"),0)-INDIRECT(ADDRESS(C$27+MATCH($A21,[1]Client!$A$51:$A$80,0),1+MATCH($B21,[1]Client!$B$48:$AE$48,0),1,0,"Client"),0),"-"),"")</f>
        <v>-1</v>
      </c>
      <c r="F21" s="580">
        <f ca="1">IF(INDIRECT(ADDRESS(C$27+MATCH($A21,[1]Client!$A$51:$A$80,0),1+MATCH($B21,[1]Client!$B$48:$AE$48,0),1,0,"Client"),0)&lt;&gt;"",INDIRECT(ADDRESS(F$27+MATCH($A21,[1]Client!$A$51:$A$80,0),1+MATCH($B21,[1]Client!$B$48:$AE$48,0),1,0,"Client"),0),"")</f>
        <v>25.8</v>
      </c>
      <c r="G21" s="581">
        <f t="shared" ca="1" si="1"/>
        <v>0.85</v>
      </c>
    </row>
    <row r="22" spans="1:7" x14ac:dyDescent="0.2">
      <c r="A22" s="577" t="s">
        <v>52</v>
      </c>
      <c r="B22" s="578" t="str">
        <f t="shared" si="0"/>
        <v>L1</v>
      </c>
      <c r="C22" s="579">
        <f ca="1">IF(INDIRECT(ADDRESS(C$27+MATCH($A22,[1]Client!$A$51:$A$80,0),1+MATCH($B22,[1]Client!$B$48:$AE$48,0),1,0,"Client"),0)&lt;&gt;"",INDIRECT(ADDRESS(C$27+MATCH($A22,[1]Client!$A$51:$A$80,0),1+MATCH($B22,[1]Client!$B$48:$AE$48,0),1,0,"Client"),0),"")</f>
        <v>26.27</v>
      </c>
      <c r="D22" s="579">
        <f ca="1">IF(INDIRECT(ADDRESS(D$27+MATCH($A22,[1]Client!$A$51:$A$80,0),1+MATCH($B22,[1]Client!$B$48:$AE$48,0),1,0,"Client"),0)&lt;&gt;"",IF(INDIRECT(ADDRESS(D$27+MATCH($A22,[1]Client!$A$51:$A$80,0),1+MATCH($B22,[1]Client!$B$48:$AE$48,0),1,0,"Client"),0)&lt;&gt;"-",INDIRECT(ADDRESS(D$27+MATCH($A22,[1]Client!$A$51:$A$80,0),1+MATCH($B22,[1]Client!$B$48:$AE$48,0),1,0,"Client"),0)-INDIRECT(ADDRESS(C$27+MATCH($A22,[1]Client!$A$51:$A$80,0),1+MATCH($B22,[1]Client!$B$48:$AE$48,0),1,0,"Client"),0),"-"),"")</f>
        <v>1.5</v>
      </c>
      <c r="E22" s="579">
        <f ca="1">IF(INDIRECT(ADDRESS(E$27+MATCH($A22,[1]Client!$A$51:$A$80,0),1+MATCH($B22,[1]Client!$B$48:$AE$48,0),1,0,"Client"),0)&lt;&gt;"",IF(INDIRECT(ADDRESS(E$27+MATCH($A22,[1]Client!$A$51:$A$80,0),1+MATCH($B22,[1]Client!$B$48:$AE$48,0),1,0,"Client"),0)&lt;&gt;"-",INDIRECT(ADDRESS(E$27+MATCH($A22,[1]Client!$A$51:$A$80,0),1+MATCH($B22,[1]Client!$B$48:$AE$48,0),1,0,"Client"),0)-INDIRECT(ADDRESS(C$27+MATCH($A22,[1]Client!$A$51:$A$80,0),1+MATCH($B22,[1]Client!$B$48:$AE$48,0),1,0,"Client"),0),"-"),"")</f>
        <v>-1</v>
      </c>
      <c r="F22" s="580">
        <f ca="1">IF(INDIRECT(ADDRESS(C$27+MATCH($A22,[1]Client!$A$51:$A$80,0),1+MATCH($B22,[1]Client!$B$48:$AE$48,0),1,0,"Client"),0)&lt;&gt;"",INDIRECT(ADDRESS(F$27+MATCH($A22,[1]Client!$A$51:$A$80,0),1+MATCH($B22,[1]Client!$B$48:$AE$48,0),1,0,"Client"),0),"")</f>
        <v>27.027000000000001</v>
      </c>
      <c r="G22" s="581">
        <f t="shared" ca="1" si="1"/>
        <v>0.76</v>
      </c>
    </row>
    <row r="23" spans="1:7" x14ac:dyDescent="0.2">
      <c r="A23" s="577" t="s">
        <v>53</v>
      </c>
      <c r="B23" s="578" t="str">
        <f t="shared" si="0"/>
        <v>L1</v>
      </c>
      <c r="C23" s="579">
        <f ca="1">IF(INDIRECT(ADDRESS(C$27+MATCH($A23,[1]Client!$A$51:$A$80,0),1+MATCH($B23,[1]Client!$B$48:$AE$48,0),1,0,"Client"),0)&lt;&gt;"",INDIRECT(ADDRESS(C$27+MATCH($A23,[1]Client!$A$51:$A$80,0),1+MATCH($B23,[1]Client!$B$48:$AE$48,0),1,0,"Client"),0),"")</f>
        <v>26.04</v>
      </c>
      <c r="D23" s="579">
        <f ca="1">IF(INDIRECT(ADDRESS(D$27+MATCH($A23,[1]Client!$A$51:$A$80,0),1+MATCH($B23,[1]Client!$B$48:$AE$48,0),1,0,"Client"),0)&lt;&gt;"",IF(INDIRECT(ADDRESS(D$27+MATCH($A23,[1]Client!$A$51:$A$80,0),1+MATCH($B23,[1]Client!$B$48:$AE$48,0),1,0,"Client"),0)&lt;&gt;"-",INDIRECT(ADDRESS(D$27+MATCH($A23,[1]Client!$A$51:$A$80,0),1+MATCH($B23,[1]Client!$B$48:$AE$48,0),1,0,"Client"),0)-INDIRECT(ADDRESS(C$27+MATCH($A23,[1]Client!$A$51:$A$80,0),1+MATCH($B23,[1]Client!$B$48:$AE$48,0),1,0,"Client"),0),"-"),"")</f>
        <v>1.1999999999999993</v>
      </c>
      <c r="E23" s="579">
        <f ca="1">IF(INDIRECT(ADDRESS(E$27+MATCH($A23,[1]Client!$A$51:$A$80,0),1+MATCH($B23,[1]Client!$B$48:$AE$48,0),1,0,"Client"),0)&lt;&gt;"",IF(INDIRECT(ADDRESS(E$27+MATCH($A23,[1]Client!$A$51:$A$80,0),1+MATCH($B23,[1]Client!$B$48:$AE$48,0),1,0,"Client"),0)&lt;&gt;"-",INDIRECT(ADDRESS(E$27+MATCH($A23,[1]Client!$A$51:$A$80,0),1+MATCH($B23,[1]Client!$B$48:$AE$48,0),1,0,"Client"),0)-INDIRECT(ADDRESS(C$27+MATCH($A23,[1]Client!$A$51:$A$80,0),1+MATCH($B23,[1]Client!$B$48:$AE$48,0),1,0,"Client"),0),"-"),"")</f>
        <v>-1</v>
      </c>
      <c r="F23" s="580">
        <f ca="1">IF(INDIRECT(ADDRESS(C$27+MATCH($A23,[1]Client!$A$51:$A$80,0),1+MATCH($B23,[1]Client!$B$48:$AE$48,0),1,0,"Client"),0)&lt;&gt;"",INDIRECT(ADDRESS(F$27+MATCH($A23,[1]Client!$A$51:$A$80,0),1+MATCH($B23,[1]Client!$B$48:$AE$48,0),1,0,"Client"),0),"")</f>
        <v>26.638999999999999</v>
      </c>
      <c r="G23" s="581">
        <f t="shared" ca="1" si="1"/>
        <v>0.6</v>
      </c>
    </row>
    <row r="24" spans="1:7" x14ac:dyDescent="0.2">
      <c r="A24" s="577" t="s">
        <v>54</v>
      </c>
      <c r="B24" s="578" t="str">
        <f t="shared" si="0"/>
        <v>L1</v>
      </c>
      <c r="C24" s="579">
        <f ca="1">IF(INDIRECT(ADDRESS(C$27+MATCH($A24,[1]Client!$A$51:$A$80,0),1+MATCH($B24,[1]Client!$B$48:$AE$48,0),1,0,"Client"),0)&lt;&gt;"",INDIRECT(ADDRESS(C$27+MATCH($A24,[1]Client!$A$51:$A$80,0),1+MATCH($B24,[1]Client!$B$48:$AE$48,0),1,0,"Client"),0),"")</f>
        <v>25.33</v>
      </c>
      <c r="D24" s="579">
        <f ca="1">IF(INDIRECT(ADDRESS(D$27+MATCH($A24,[1]Client!$A$51:$A$80,0),1+MATCH($B24,[1]Client!$B$48:$AE$48,0),1,0,"Client"),0)&lt;&gt;"",IF(INDIRECT(ADDRESS(D$27+MATCH($A24,[1]Client!$A$51:$A$80,0),1+MATCH($B24,[1]Client!$B$48:$AE$48,0),1,0,"Client"),0)&lt;&gt;"-",INDIRECT(ADDRESS(D$27+MATCH($A24,[1]Client!$A$51:$A$80,0),1+MATCH($B24,[1]Client!$B$48:$AE$48,0),1,0,"Client"),0)-INDIRECT(ADDRESS(C$27+MATCH($A24,[1]Client!$A$51:$A$80,0),1+MATCH($B24,[1]Client!$B$48:$AE$48,0),1,0,"Client"),0),"-"),"")</f>
        <v>1.1999999999999993</v>
      </c>
      <c r="E24" s="579">
        <f ca="1">IF(INDIRECT(ADDRESS(E$27+MATCH($A24,[1]Client!$A$51:$A$80,0),1+MATCH($B24,[1]Client!$B$48:$AE$48,0),1,0,"Client"),0)&lt;&gt;"",IF(INDIRECT(ADDRESS(E$27+MATCH($A24,[1]Client!$A$51:$A$80,0),1+MATCH($B24,[1]Client!$B$48:$AE$48,0),1,0,"Client"),0)&lt;&gt;"-",INDIRECT(ADDRESS(E$27+MATCH($A24,[1]Client!$A$51:$A$80,0),1+MATCH($B24,[1]Client!$B$48:$AE$48,0),1,0,"Client"),0)-INDIRECT(ADDRESS(C$27+MATCH($A24,[1]Client!$A$51:$A$80,0),1+MATCH($B24,[1]Client!$B$48:$AE$48,0),1,0,"Client"),0),"-"),"")</f>
        <v>-1</v>
      </c>
      <c r="F24" s="580">
        <f ca="1">IF(INDIRECT(ADDRESS(C$27+MATCH($A24,[1]Client!$A$51:$A$80,0),1+MATCH($B24,[1]Client!$B$48:$AE$48,0),1,0,"Client"),0)&lt;&gt;"",INDIRECT(ADDRESS(F$27+MATCH($A24,[1]Client!$A$51:$A$80,0),1+MATCH($B24,[1]Client!$B$48:$AE$48,0),1,0,"Client"),0),"")</f>
        <v>25.808</v>
      </c>
      <c r="G24" s="581">
        <f t="shared" ca="1" si="1"/>
        <v>0.48</v>
      </c>
    </row>
    <row r="25" spans="1:7" x14ac:dyDescent="0.2">
      <c r="A25" s="577" t="s">
        <v>56</v>
      </c>
      <c r="B25" s="578" t="str">
        <f t="shared" si="0"/>
        <v>L1</v>
      </c>
      <c r="C25" s="579">
        <f ca="1">IF(INDIRECT(ADDRESS(C$27+MATCH($A25,[1]Client!$A$51:$A$80,0),1+MATCH($B25,[1]Client!$B$48:$AE$48,0),1,0,"Client"),0)&lt;&gt;"",INDIRECT(ADDRESS(C$27+MATCH($A25,[1]Client!$A$51:$A$80,0),1+MATCH($B25,[1]Client!$B$48:$AE$48,0),1,0,"Client"),0),"")</f>
        <v>23.35</v>
      </c>
      <c r="D25" s="579">
        <f ca="1">IF(INDIRECT(ADDRESS(D$27+MATCH($A25,[1]Client!$A$51:$A$80,0),1+MATCH($B25,[1]Client!$B$48:$AE$48,0),1,0,"Client"),0)&lt;&gt;"",IF(INDIRECT(ADDRESS(D$27+MATCH($A25,[1]Client!$A$51:$A$80,0),1+MATCH($B25,[1]Client!$B$48:$AE$48,0),1,0,"Client"),0)&lt;&gt;"-",INDIRECT(ADDRESS(D$27+MATCH($A25,[1]Client!$A$51:$A$80,0),1+MATCH($B25,[1]Client!$B$48:$AE$48,0),1,0,"Client"),0)-INDIRECT(ADDRESS(C$27+MATCH($A25,[1]Client!$A$51:$A$80,0),1+MATCH($B25,[1]Client!$B$48:$AE$48,0),1,0,"Client"),0),"-"),"")</f>
        <v>1.1999999999999993</v>
      </c>
      <c r="E25" s="579">
        <f ca="1">IF(INDIRECT(ADDRESS(E$27+MATCH($A25,[1]Client!$A$51:$A$80,0),1+MATCH($B25,[1]Client!$B$48:$AE$48,0),1,0,"Client"),0)&lt;&gt;"",IF(INDIRECT(ADDRESS(E$27+MATCH($A25,[1]Client!$A$51:$A$80,0),1+MATCH($B25,[1]Client!$B$48:$AE$48,0),1,0,"Client"),0)&lt;&gt;"-",INDIRECT(ADDRESS(E$27+MATCH($A25,[1]Client!$A$51:$A$80,0),1+MATCH($B25,[1]Client!$B$48:$AE$48,0),1,0,"Client"),0)-INDIRECT(ADDRESS(C$27+MATCH($A25,[1]Client!$A$51:$A$80,0),1+MATCH($B25,[1]Client!$B$48:$AE$48,0),1,0,"Client"),0),"-"),"")</f>
        <v>-1</v>
      </c>
      <c r="F25" s="580">
        <f ca="1">IF(INDIRECT(ADDRESS(C$27+MATCH($A25,[1]Client!$A$51:$A$80,0),1+MATCH($B25,[1]Client!$B$48:$AE$48,0),1,0,"Client"),0)&lt;&gt;"",INDIRECT(ADDRESS(F$27+MATCH($A25,[1]Client!$A$51:$A$80,0),1+MATCH($B25,[1]Client!$B$48:$AE$48,0),1,0,"Client"),0),"")</f>
        <v>23.738</v>
      </c>
      <c r="G25" s="581">
        <f t="shared" ca="1" si="1"/>
        <v>0.39</v>
      </c>
    </row>
    <row r="26" spans="1:7" x14ac:dyDescent="0.2">
      <c r="A26" s="591" t="s">
        <v>57</v>
      </c>
      <c r="B26" s="583" t="str">
        <f t="shared" si="0"/>
        <v>L1</v>
      </c>
      <c r="C26" s="584">
        <f ca="1">IF(INDIRECT(ADDRESS(C$27+MATCH($A26,[1]Client!$A$51:$A$80,0),1+MATCH($B26,[1]Client!$B$48:$AE$48,0),1,0,"Client"),0)&lt;&gt;"",INDIRECT(ADDRESS(C$27+MATCH($A26,[1]Client!$A$51:$A$80,0),1+MATCH($B26,[1]Client!$B$48:$AE$48,0),1,0,"Client"),0),"")</f>
        <v>22.44</v>
      </c>
      <c r="D26" s="584">
        <f ca="1">IF(INDIRECT(ADDRESS(D$27+MATCH($A26,[1]Client!$A$51:$A$80,0),1+MATCH($B26,[1]Client!$B$48:$AE$48,0),1,0,"Client"),0)&lt;&gt;"",IF(INDIRECT(ADDRESS(D$27+MATCH($A26,[1]Client!$A$51:$A$80,0),1+MATCH($B26,[1]Client!$B$48:$AE$48,0),1,0,"Client"),0)&lt;&gt;"-",INDIRECT(ADDRESS(D$27+MATCH($A26,[1]Client!$A$51:$A$80,0),1+MATCH($B26,[1]Client!$B$48:$AE$48,0),1,0,"Client"),0)-INDIRECT(ADDRESS(C$27+MATCH($A26,[1]Client!$A$51:$A$80,0),1+MATCH($B26,[1]Client!$B$48:$AE$48,0),1,0,"Client"),0),"-"),"")</f>
        <v>1.1999999999999993</v>
      </c>
      <c r="E26" s="584">
        <f ca="1">IF(INDIRECT(ADDRESS(E$27+MATCH($A26,[1]Client!$A$51:$A$80,0),1+MATCH($B26,[1]Client!$B$48:$AE$48,0),1,0,"Client"),0)&lt;&gt;"",IF(INDIRECT(ADDRESS(E$27+MATCH($A26,[1]Client!$A$51:$A$80,0),1+MATCH($B26,[1]Client!$B$48:$AE$48,0),1,0,"Client"),0)&lt;&gt;"-",INDIRECT(ADDRESS(E$27+MATCH($A26,[1]Client!$A$51:$A$80,0),1+MATCH($B26,[1]Client!$B$48:$AE$48,0),1,0,"Client"),0)-INDIRECT(ADDRESS(C$27+MATCH($A26,[1]Client!$A$51:$A$80,0),1+MATCH($B26,[1]Client!$B$48:$AE$48,0),1,0,"Client"),0),"-"),"")</f>
        <v>-1</v>
      </c>
      <c r="F26" s="585">
        <f ca="1">IF(INDIRECT(ADDRESS(C$27+MATCH($A26,[1]Client!$A$51:$A$80,0),1+MATCH($B26,[1]Client!$B$48:$AE$48,0),1,0,"Client"),0)&lt;&gt;"",INDIRECT(ADDRESS(F$27+MATCH($A26,[1]Client!$A$51:$A$80,0),1+MATCH($B26,[1]Client!$B$48:$AE$48,0),1,0,"Client"),0),"")</f>
        <v>22.885000000000002</v>
      </c>
      <c r="G26" s="586">
        <f t="shared" ca="1" si="1"/>
        <v>0.45</v>
      </c>
    </row>
    <row r="27" spans="1:7" s="592" customFormat="1" x14ac:dyDescent="0.2">
      <c r="C27" s="592">
        <v>50</v>
      </c>
      <c r="D27" s="592">
        <v>88</v>
      </c>
      <c r="E27" s="592">
        <v>126</v>
      </c>
      <c r="F27" s="592">
        <v>10</v>
      </c>
    </row>
  </sheetData>
  <conditionalFormatting sqref="F3:G26">
    <cfRule type="expression" dxfId="0" priority="1">
      <formula>IF($C3&lt;&gt;"",IF(AND($D3&lt;&gt;"-",$E3&lt;&gt;"-"),IF(OR($G3&lt;$E3,$G3&gt;$D3),TRUE,FALSE),IF(LEFT($F3,SEARCH("|",$F3)-1)/RIGHT($F3,LEN($F3)-SEARCH("|",$F3))&gt;1,TRUE,FALSE)),FALSE)</formula>
    </cfRule>
  </conditionalFormatting>
  <dataValidations count="1">
    <dataValidation type="list" allowBlank="1" showInputMessage="1" showErrorMessage="1" sqref="B2">
      <formula1>$B$1:$AC$1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Client</vt:lpstr>
      <vt:lpstr>Cavity Check</vt:lpstr>
      <vt:lpstr>Analyse</vt:lpstr>
      <vt:lpstr>Client!Zone_d_impression</vt:lpstr>
    </vt:vector>
  </TitlesOfParts>
  <Company>LISI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BREUT Nicolas</dc:creator>
  <cp:lastModifiedBy>BREUT Nicolas</cp:lastModifiedBy>
  <dcterms:created xsi:type="dcterms:W3CDTF">2022-04-04T07:16:55Z</dcterms:created>
  <dcterms:modified xsi:type="dcterms:W3CDTF">2022-04-04T07:16:57Z</dcterms:modified>
</cp:coreProperties>
</file>